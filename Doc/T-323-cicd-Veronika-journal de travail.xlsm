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vskup\OneDrive\Документи\GitHub\Pipeline-CICD\Doc\"/>
    </mc:Choice>
  </mc:AlternateContent>
  <xr:revisionPtr revIDLastSave="0" documentId="13_ncr:1_{67AB387A-A656-4D9E-8CAD-FD1830D298ED}" xr6:coauthVersionLast="47" xr6:coauthVersionMax="47" xr10:uidLastSave="{00000000-0000-0000-0000-000000000000}"/>
  <bookViews>
    <workbookView xWindow="744" yWindow="2724" windowWidth="17280" windowHeight="888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  <definedName name="_xlnm.Print_Area" localSheetId="5">JNLTRAV!$A$1:$D$190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1" i="156" l="1"/>
  <c r="B208" i="156"/>
  <c r="D115" i="156"/>
  <c r="D134" i="156" s="1"/>
  <c r="D153" i="156" s="1"/>
  <c r="D172" i="156" s="1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<sst xmlns="http://schemas.openxmlformats.org/spreadsheetml/2006/main" count="202" uniqueCount="101">
  <si>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</si>
  <si>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</si>
  <si>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</si>
  <si>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</si>
  <si>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</si>
  <si>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</si>
  <si>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</si>
  <si>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</si>
  <si>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</si>
  <si>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</si>
  <si>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</si>
  <si>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</si>
  <si>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</si>
  <si>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</si>
  <si>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</si>
  <si>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</si>
  <si>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</si>
  <si>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</si>
  <si>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</si>
  <si>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</si>
  <si>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</si>
  <si>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</si>
  <si>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</si>
  <si>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</si>
  <si>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</si>
  <si>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</si>
  <si>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</si>
  <si>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</si>
  <si>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</si>
  <si>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</si>
  <si>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</si>
  <si>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</si>
  <si>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</si>
  <si>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</si>
  <si>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</si>
  <si>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</si>
  <si>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</si>
  <si>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</si>
  <si>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</si>
  <si>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</si>
  <si>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</si>
  <si>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</si>
  <si>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</si>
  <si>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</si>
  <si>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</si>
  <si>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</si>
  <si>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</si>
  <si>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</si>
  <si>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</si>
  <si>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</si>
  <si>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</si>
  <si>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</si>
  <si>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</si>
  <si>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</si>
  <si>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</si>
  <si>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</si>
  <si>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</si>
  <si>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</si>
  <si>
    <t>ajout de mariadb dans service</t>
  </si>
  <si>
    <t>Creating PostgreSQL service containers - GitHub Docs</t>
  </si>
  <si>
    <t>Bash until Loop | Linuxize</t>
  </si>
  <si>
    <t>recherche sur boucle until; afin de tester si mariadb reponds</t>
  </si>
  <si>
    <t>recherche sur fonctionnement de GitHub Actions et sur la mise en place d’un pipeline CI/CD. étudié les concepts clés tels que les workflows, les runners, les jobs et les steps, afin de comprendre comment automatiser le cicd</t>
  </si>
  <si>
    <t>Veronika-blub/Pipeline-CICD: une vérification statique de sécurité dans un pipeline CICD</t>
  </si>
  <si>
    <t>recherche sur healthcheck, comment construire et quoi verifier -   mariadb service is healthy.</t>
  </si>
  <si>
    <t>recherche sur optimisation de step instalation de composer. Implimentation: prefer-dist pour installation de composer: plus rapide et lèger (zip au lieu de repo github)</t>
  </si>
  <si>
    <t>ajout de comentaires</t>
  </si>
  <si>
    <t>error avec run migration, recherche</t>
  </si>
  <si>
    <t xml:space="preserve">analyse d'auth.php afin de comprendre la fonctiennement de programme </t>
  </si>
  <si>
    <t>Modification de .env dans pipeline - echec. Solution: MARIADB_ROOT_PASSWORD était root au lieu de 123</t>
  </si>
  <si>
    <t>ajout de job security</t>
  </si>
  <si>
    <t>Comprehensive Guide to Using Snyk in CI/CD Pipelines | by MAYANK ARYA | Medium</t>
  </si>
  <si>
    <t xml:space="preserve">recherche dur les outls disponibles sur le marché: Snyc </t>
  </si>
  <si>
    <t>recherche sur Snyk et son integration: création de compte; configuration de Snyc -  different plan</t>
  </si>
  <si>
    <t>Analyse du code</t>
  </si>
  <si>
    <t>Max. 15</t>
  </si>
  <si>
    <t>sonarqube recherche</t>
  </si>
  <si>
    <t>SonarQube | Appcircle Docs</t>
  </si>
  <si>
    <t xml:space="preserve">theorie </t>
  </si>
  <si>
    <t>sonarcube recherche - fonctionnalités limitées dans la version gratuite</t>
  </si>
  <si>
    <t>CodeQL recherche</t>
  </si>
  <si>
    <t>How to Enable CodeQL Analysis in Your GitHub Repository - DEV Community</t>
  </si>
  <si>
    <t>ordre d'execution de steps, analyse. Test apres Mariadb</t>
  </si>
  <si>
    <t>Store and share data with workflow artifacts - GitHub Docs</t>
  </si>
  <si>
    <t>recherche sur la fonctionnement des artifactspour recevoir les resultats de tests, implimentation</t>
  </si>
  <si>
    <t>error: si le test dans le workflow ne reussis pas - worklow s'arette. Solution :</t>
  </si>
  <si>
    <t xml:space="preserve">Failed to connect to github.com port 443 after 135627 ms: Couldn't connect to server </t>
  </si>
  <si>
    <t>run test &gt; tests.xml ne fonctionne pas -&gt; recherche -&gt; log-junit</t>
  </si>
  <si>
    <t>Upcoming deprecation of CodeQL Action v3 - GitHub Changelog</t>
  </si>
  <si>
    <r>
      <rPr>
        <i/>
        <sz val="10"/>
        <rFont val="Century Gothic"/>
        <family val="2"/>
        <scheme val="minor"/>
      </rPr>
      <t>changement de permissions - err</t>
    </r>
    <r>
      <rPr>
        <sz val="10"/>
        <rFont val="Century Gothic"/>
        <family val="2"/>
        <scheme val="minor"/>
      </rPr>
      <t xml:space="preserve">or: repository not found (step checkout dans security), recherche, </t>
    </r>
  </si>
  <si>
    <t>codeq "Did not recognize php". Recherche - PHP est supporté proprement uniquement via CodeQL v4 - ne reconnais toujours pas php</t>
  </si>
  <si>
    <t>permission write enlevé, resultat: codeql ne reconnais pas php et "CodeQL Action does not have permission to access the CodeQL Action API endpoints"</t>
  </si>
  <si>
    <t>mardi</t>
  </si>
  <si>
    <t>github actions - Failing to upload artifact - Stack Overflow</t>
  </si>
  <si>
    <t>Enhancing PHP code quality: Integrating php-cs-fixer with GitHub Actions - René Kulik - Freelance Software Developer</t>
  </si>
  <si>
    <t xml:space="preserve">recherche sur warning artifact is not uploaded; raison possible - tasts fail </t>
  </si>
  <si>
    <t>recherche sur les alternatives de verifier le code php</t>
  </si>
  <si>
    <t xml:space="preserve">recherche sur la mehode d'eviter l'error si les fichiers ne sont pas trouvés - if-no-files-found: warn </t>
  </si>
  <si>
    <t>jeudi</t>
  </si>
  <si>
    <t>recherche sur error "Code scanning is not enabled". Code scanning peut etre activé que pour les repositiries publiques ou avec GitHub Entreprise</t>
  </si>
  <si>
    <t>visibility de repository est changé en public, code scanning est activé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</si>
</sst>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  <font>
      <i/>
      <sz val="1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justify" vertical="top" wrapText="1"/>
      <protection locked="0"/>
    </xf>
    <xf numFmtId="0" fontId="0" fillId="0" borderId="2" xfId="0" applyBorder="1" applyAlignment="1" applyProtection="1">
      <alignment horizontal="justify" vertical="top" wrapText="1"/>
      <protection locked="0"/>
    </xf>
    <xf numFmtId="0" fontId="8" fillId="0" borderId="2" xfId="0" applyFont="1" applyBorder="1" applyAlignment="1" applyProtection="1">
      <alignment horizontal="justify" vertical="top" wrapText="1"/>
      <protection locked="0"/>
    </xf>
    <xf numFmtId="0" fontId="16" fillId="0" borderId="0" xfId="0" applyFont="1" applyAlignment="1">
      <alignment horizontal="justify" vertical="center"/>
    </xf>
    <xf numFmtId="0" fontId="18" fillId="0" borderId="0" xfId="0" applyFont="1" applyAlignment="1">
      <alignment horizontal="justify"/>
    </xf>
    <xf numFmtId="0" fontId="6" fillId="13" borderId="14" xfId="0" applyFont="1" applyFill="1" applyBorder="1" applyAlignment="1">
      <alignment horizontal="justify" vertical="center"/>
    </xf>
    <xf numFmtId="0" fontId="7" fillId="13" borderId="12" xfId="0" quotePrefix="1" applyFont="1" applyFill="1" applyBorder="1" applyAlignment="1">
      <alignment horizontal="justify" vertical="center"/>
    </xf>
    <xf numFmtId="164" fontId="7" fillId="13" borderId="13" xfId="0" applyNumberFormat="1" applyFont="1" applyFill="1" applyBorder="1" applyAlignment="1" applyProtection="1">
      <alignment horizontal="justify" vertical="center"/>
      <protection locked="0"/>
    </xf>
    <xf numFmtId="0" fontId="6" fillId="12" borderId="15" xfId="0" applyFont="1" applyFill="1" applyBorder="1" applyAlignment="1">
      <alignment horizontal="justify" vertical="center"/>
    </xf>
    <xf numFmtId="0" fontId="11" fillId="12" borderId="15" xfId="0" applyFont="1" applyFill="1" applyBorder="1" applyAlignment="1">
      <alignment horizontal="justify" vertical="center" wrapText="1"/>
    </xf>
    <xf numFmtId="0" fontId="8" fillId="0" borderId="1" xfId="1" applyFont="1" applyFill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top" wrapText="1"/>
      <protection locked="0"/>
    </xf>
    <xf numFmtId="0" fontId="8" fillId="0" borderId="2" xfId="1" applyFont="1" applyFill="1" applyBorder="1" applyAlignment="1" applyProtection="1">
      <alignment horizontal="justify" vertical="center" wrapText="1"/>
      <protection locked="0"/>
    </xf>
    <xf numFmtId="0" fontId="8" fillId="0" borderId="2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top" wrapText="1"/>
      <protection locked="0"/>
    </xf>
    <xf numFmtId="0" fontId="8" fillId="0" borderId="3" xfId="0" applyFont="1" applyBorder="1" applyAlignment="1" applyProtection="1">
      <alignment horizontal="justify" vertical="center" wrapText="1"/>
      <protection locked="0"/>
    </xf>
    <xf numFmtId="0" fontId="8" fillId="0" borderId="3" xfId="0" applyFont="1" applyBorder="1" applyAlignment="1" applyProtection="1">
      <alignment horizontal="justify" vertical="top" wrapText="1"/>
      <protection locked="0"/>
    </xf>
    <xf numFmtId="0" fontId="8" fillId="12" borderId="15" xfId="0" applyFont="1" applyFill="1" applyBorder="1" applyAlignment="1">
      <alignment horizontal="justify" vertical="center" wrapText="1"/>
    </xf>
    <xf numFmtId="0" fontId="9" fillId="12" borderId="13" xfId="0" applyFont="1" applyFill="1" applyBorder="1" applyAlignment="1">
      <alignment horizontal="justify" vertical="top" wrapText="1"/>
    </xf>
    <xf numFmtId="0" fontId="8" fillId="12" borderId="13" xfId="0" applyFont="1" applyFill="1" applyBorder="1" applyAlignment="1">
      <alignment horizontal="justify" vertical="top" wrapText="1"/>
    </xf>
    <xf numFmtId="0" fontId="10" fillId="11" borderId="0" xfId="0" applyFont="1" applyFill="1" applyAlignment="1">
      <alignment horizontal="justify"/>
    </xf>
    <xf numFmtId="0" fontId="0" fillId="0" borderId="1" xfId="1" applyFont="1" applyFill="1" applyBorder="1" applyAlignment="1" applyProtection="1">
      <alignment horizontal="justify" vertical="center" wrapText="1"/>
      <protection locked="0"/>
    </xf>
    <xf numFmtId="0" fontId="1" fillId="0" borderId="0" xfId="1" applyAlignment="1" applyProtection="1">
      <alignment horizontal="justify"/>
    </xf>
    <xf numFmtId="0" fontId="0" fillId="0" borderId="2" xfId="1" applyFont="1" applyFill="1" applyBorder="1" applyAlignment="1" applyProtection="1">
      <alignment horizontal="justify" vertical="center" wrapText="1"/>
      <protection locked="0"/>
    </xf>
    <xf numFmtId="0" fontId="1" fillId="0" borderId="0" xfId="1" applyAlignment="1" applyProtection="1"/>
    <xf numFmtId="0" fontId="1" fillId="0" borderId="0" xfId="1" applyAlignment="1" applyProtection="1">
      <alignment horizontal="justify" vertical="justify"/>
    </xf>
    <xf numFmtId="0" fontId="0" fillId="9" borderId="0" xfId="0" applyFill="1" applyAlignment="1">
      <alignment horizontal="justify" vertical="justify"/>
    </xf>
    <xf numFmtId="0" fontId="8" fillId="0" borderId="2" xfId="0" applyFont="1" applyBorder="1" applyAlignment="1" applyProtection="1">
      <alignment horizontal="justify" vertical="justify" wrapText="1"/>
      <protection locked="0"/>
    </xf>
    <xf numFmtId="0" fontId="17" fillId="0" borderId="0" xfId="0" applyFont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justify" vertical="center" wrapText="1"/>
      <protection locked="0"/>
    </xf>
    <xf numFmtId="0" fontId="0" fillId="0" borderId="2" xfId="0" applyFont="1" applyBorder="1" applyAlignment="1" applyProtection="1">
      <alignment horizontal="justify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</xdr:row>
          <xdr:rowOff>160020</xdr:rowOff>
        </xdr:from>
        <xdr:to>
          <xdr:col>6</xdr:col>
          <xdr:colOff>76200</xdr:colOff>
          <xdr:row>3</xdr:row>
          <xdr:rowOff>198120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5</xdr:row>
          <xdr:rowOff>7620</xdr:rowOff>
        </xdr:from>
        <xdr:to>
          <xdr:col>6</xdr:col>
          <xdr:colOff>99060</xdr:colOff>
          <xdr:row>7</xdr:row>
          <xdr:rowOff>45720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inuxize.com/post/bash-until-loop/" TargetMode="External"/><Relationship Id="rId13" Type="http://schemas.openxmlformats.org/officeDocument/2006/relationships/hyperlink" Target="https://docs.github.com/en/actions/tutorials/store-and-share-data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https://apps.pm2etml.ch/jobDefinitions/191" TargetMode="External"/><Relationship Id="rId21" Type="http://schemas.openxmlformats.org/officeDocument/2006/relationships/image" Target="../media/image7.emf"/><Relationship Id="rId7" Type="http://schemas.openxmlformats.org/officeDocument/2006/relationships/hyperlink" Target="https://docs.github.com/en/actions/tutorials/use-containerized-services/create-postgresql-service-containers" TargetMode="External"/><Relationship Id="rId12" Type="http://schemas.openxmlformats.org/officeDocument/2006/relationships/hyperlink" Target="https://dev.to/nivicius/how-to-enable-codeql-analysis-in-your-github-repository-5ad3" TargetMode="External"/><Relationship Id="rId17" Type="http://schemas.openxmlformats.org/officeDocument/2006/relationships/printerSettings" Target="../printerSettings/printerSettings4.bin"/><Relationship Id="rId2" Type="http://schemas.openxmlformats.org/officeDocument/2006/relationships/hyperlink" Target="https://github.blog/enterprise-software/ci-cd/build-ci-cd-pipeline-github-actions-four-steps/" TargetMode="External"/><Relationship Id="rId16" Type="http://schemas.openxmlformats.org/officeDocument/2006/relationships/hyperlink" Target="https://www.kulik.io/2024/08/06/enhancing-php-code-quality-integrating-php-cs-fixer-with-github-actions/" TargetMode="External"/><Relationship Id="rId20" Type="http://schemas.openxmlformats.org/officeDocument/2006/relationships/control" Target="../activeX/activeX6.xm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hyperlink" Target="https://docs.appcircle.io/workflows/common-workflow-steps/sonarqube" TargetMode="External"/><Relationship Id="rId5" Type="http://schemas.openxmlformats.org/officeDocument/2006/relationships/hyperlink" Target="https://stackoverflow.com/questions/29915514/how-to-generate-env-file-for-laravel" TargetMode="External"/><Relationship Id="rId15" Type="http://schemas.openxmlformats.org/officeDocument/2006/relationships/hyperlink" Target="https://stackoverflow.com/questions/77916689/failing-to-upload-artifact" TargetMode="External"/><Relationship Id="rId10" Type="http://schemas.openxmlformats.org/officeDocument/2006/relationships/hyperlink" Target="https://medium.com/@mayankarya837/comprehensive-guide-to-using-snyk-in-ci-cd-pipelines-154a8f118b7c" TargetMode="External"/><Relationship Id="rId19" Type="http://schemas.openxmlformats.org/officeDocument/2006/relationships/vmlDrawing" Target="../drawings/vmlDrawing5.vml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hyperlink" Target="https://github.com/Veronika-blub/Pipeline-CICD" TargetMode="External"/><Relationship Id="rId14" Type="http://schemas.openxmlformats.org/officeDocument/2006/relationships/hyperlink" Target="https://github.blog/changelog/2025-10-28-upcoming-deprecation-of-codeql-action-v3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4" sqref="C4"/>
    </sheetView>
  </sheetViews>
  <sheetFormatPr baseColWidth="10" defaultColWidth="11.5546875" defaultRowHeight="13.2"/>
  <cols>
    <col min="1" max="1" width="16.5546875" style="57" customWidth="1"/>
    <col min="2" max="2" width="55.109375" style="57" customWidth="1"/>
    <col min="3" max="3" width="88.5546875" style="57" customWidth="1"/>
    <col min="4" max="4" width="3.44140625" style="57" customWidth="1"/>
    <col min="5" max="6" width="11.5546875" style="57"/>
    <col min="7" max="7" width="3.33203125" style="57" customWidth="1"/>
    <col min="8" max="16384" width="11.554687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3.8" thickBot="1">
      <c r="A2" s="58"/>
      <c r="B2" s="59"/>
      <c r="C2" s="59"/>
      <c r="D2" s="59"/>
      <c r="E2" s="59"/>
      <c r="F2" s="59"/>
      <c r="G2" s="60"/>
    </row>
    <row r="3" spans="1:7" ht="21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1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1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.6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3.8" thickBot="1">
      <c r="A8" s="58"/>
      <c r="B8" s="59"/>
      <c r="C8" s="59"/>
      <c r="D8" s="59"/>
      <c r="E8" s="59"/>
      <c r="F8" s="59"/>
      <c r="G8" s="60"/>
    </row>
    <row r="9" spans="1:7" ht="21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1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1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1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1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1.6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3.8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3.8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117" t="s">
        <v>19</v>
      </c>
      <c r="C19" s="118"/>
      <c r="D19" s="59"/>
      <c r="E19" s="59"/>
      <c r="F19" s="59"/>
      <c r="G19" s="60"/>
    </row>
    <row r="20" spans="1:7" ht="21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1">
      <c r="A21" s="78"/>
      <c r="B21" s="79">
        <v>1</v>
      </c>
      <c r="C21" s="69"/>
      <c r="D21" s="59"/>
      <c r="E21" s="59"/>
      <c r="F21" s="59"/>
      <c r="G21" s="60"/>
    </row>
    <row r="22" spans="1:7" ht="21">
      <c r="A22" s="78"/>
      <c r="B22" s="79">
        <v>2</v>
      </c>
      <c r="C22" s="70"/>
      <c r="D22" s="59"/>
      <c r="E22" s="59"/>
      <c r="F22" s="59"/>
      <c r="G22" s="60"/>
    </row>
    <row r="23" spans="1:7" ht="21">
      <c r="A23" s="78"/>
      <c r="B23" s="81">
        <v>3</v>
      </c>
      <c r="C23" s="70"/>
      <c r="D23" s="59"/>
      <c r="E23" s="59"/>
      <c r="F23" s="59"/>
      <c r="G23" s="60"/>
    </row>
    <row r="24" spans="1:7" ht="21">
      <c r="A24" s="78"/>
      <c r="B24" s="79">
        <v>4</v>
      </c>
      <c r="C24" s="70"/>
      <c r="D24" s="59"/>
      <c r="E24" s="59"/>
      <c r="F24" s="59"/>
      <c r="G24" s="60"/>
    </row>
    <row r="25" spans="1:7" ht="21">
      <c r="A25" s="78"/>
      <c r="B25" s="79">
        <v>5</v>
      </c>
      <c r="C25" s="70"/>
      <c r="D25" s="59"/>
      <c r="E25" s="59"/>
      <c r="F25" s="59"/>
      <c r="G25" s="60"/>
    </row>
    <row r="26" spans="1:7" ht="21">
      <c r="A26" s="78"/>
      <c r="B26" s="81">
        <v>6</v>
      </c>
      <c r="C26" s="70"/>
      <c r="D26" s="59"/>
      <c r="E26" s="59"/>
      <c r="F26" s="59"/>
      <c r="G26" s="60"/>
    </row>
    <row r="27" spans="1:7" ht="21">
      <c r="A27" s="78"/>
      <c r="B27" s="79">
        <v>7</v>
      </c>
      <c r="C27" s="70"/>
      <c r="D27" s="59"/>
      <c r="E27" s="59"/>
      <c r="F27" s="59"/>
      <c r="G27" s="60"/>
    </row>
    <row r="28" spans="1:7" ht="21">
      <c r="A28" s="78"/>
      <c r="B28" s="79">
        <v>8</v>
      </c>
      <c r="C28" s="71"/>
      <c r="D28" s="59"/>
      <c r="E28" s="59"/>
      <c r="F28" s="59"/>
      <c r="G28" s="60"/>
    </row>
    <row r="29" spans="1:7" ht="21">
      <c r="A29" s="78"/>
      <c r="B29" s="81">
        <v>9</v>
      </c>
      <c r="C29" s="71"/>
      <c r="D29" s="59"/>
      <c r="E29" s="59"/>
      <c r="F29" s="59"/>
      <c r="G29" s="60"/>
    </row>
    <row r="30" spans="1:7" ht="21">
      <c r="A30" s="78"/>
      <c r="B30" s="79">
        <v>10</v>
      </c>
      <c r="C30" s="70"/>
      <c r="D30" s="59"/>
      <c r="E30" s="59"/>
      <c r="F30" s="59"/>
      <c r="G30" s="60"/>
    </row>
    <row r="31" spans="1:7" ht="21">
      <c r="A31" s="78"/>
      <c r="B31" s="79">
        <v>11</v>
      </c>
      <c r="C31" s="70"/>
      <c r="D31" s="59"/>
      <c r="E31" s="59"/>
      <c r="F31" s="59"/>
      <c r="G31" s="60"/>
    </row>
    <row r="32" spans="1:7" ht="21">
      <c r="A32" s="78"/>
      <c r="B32" s="81">
        <v>12</v>
      </c>
      <c r="C32" s="70"/>
      <c r="D32" s="59"/>
      <c r="E32" s="59"/>
      <c r="F32" s="59"/>
      <c r="G32" s="60"/>
    </row>
    <row r="33" spans="1:7" ht="21">
      <c r="A33" s="78"/>
      <c r="B33" s="79">
        <v>13</v>
      </c>
      <c r="C33" s="70"/>
      <c r="D33" s="59"/>
      <c r="E33" s="59"/>
      <c r="F33" s="59"/>
      <c r="G33" s="60"/>
    </row>
    <row r="34" spans="1:7" ht="21">
      <c r="A34" s="78"/>
      <c r="B34" s="79">
        <v>14</v>
      </c>
      <c r="C34" s="71"/>
      <c r="D34" s="59"/>
      <c r="E34" s="59"/>
      <c r="F34" s="59"/>
      <c r="G34" s="60"/>
    </row>
    <row r="35" spans="1:7" ht="21">
      <c r="A35" s="78"/>
      <c r="B35" s="81">
        <v>15</v>
      </c>
      <c r="C35" s="71"/>
      <c r="D35" s="59"/>
      <c r="E35" s="59"/>
      <c r="F35" s="59"/>
      <c r="G35" s="60"/>
    </row>
    <row r="36" spans="1:7" ht="21">
      <c r="A36" s="78"/>
      <c r="B36" s="79">
        <v>16</v>
      </c>
      <c r="C36" s="70"/>
      <c r="D36" s="59"/>
      <c r="E36" s="59"/>
      <c r="F36" s="59"/>
      <c r="G36" s="60"/>
    </row>
    <row r="37" spans="1:7" ht="21">
      <c r="A37" s="78"/>
      <c r="B37" s="79">
        <v>17</v>
      </c>
      <c r="C37" s="70"/>
      <c r="D37" s="59"/>
      <c r="E37" s="59"/>
      <c r="F37" s="59"/>
      <c r="G37" s="60"/>
    </row>
    <row r="38" spans="1:7" ht="21">
      <c r="A38" s="78"/>
      <c r="B38" s="81">
        <v>18</v>
      </c>
      <c r="C38" s="70"/>
      <c r="D38" s="59"/>
      <c r="E38" s="59"/>
      <c r="F38" s="59"/>
      <c r="G38" s="60"/>
    </row>
    <row r="39" spans="1:7" ht="21">
      <c r="A39" s="78"/>
      <c r="B39" s="79">
        <v>19</v>
      </c>
      <c r="C39" s="70"/>
      <c r="D39" s="59"/>
      <c r="E39" s="59"/>
      <c r="F39" s="59"/>
      <c r="G39" s="60"/>
    </row>
    <row r="40" spans="1:7" ht="21">
      <c r="A40" s="78"/>
      <c r="B40" s="79">
        <v>20</v>
      </c>
      <c r="C40" s="71"/>
      <c r="D40" s="59"/>
      <c r="E40" s="59"/>
      <c r="F40" s="59"/>
      <c r="G40" s="60"/>
    </row>
    <row r="41" spans="1:7" ht="21">
      <c r="A41" s="78"/>
      <c r="B41" s="81">
        <v>21</v>
      </c>
      <c r="C41" s="71"/>
      <c r="D41" s="59"/>
      <c r="E41" s="59"/>
      <c r="F41" s="59"/>
      <c r="G41" s="60"/>
    </row>
    <row r="42" spans="1:7" ht="21">
      <c r="A42" s="78"/>
      <c r="B42" s="79">
        <v>22</v>
      </c>
      <c r="C42" s="70"/>
      <c r="D42" s="59"/>
      <c r="E42" s="59"/>
      <c r="F42" s="59"/>
      <c r="G42" s="60"/>
    </row>
    <row r="43" spans="1:7" ht="21">
      <c r="A43" s="78"/>
      <c r="B43" s="79">
        <v>23</v>
      </c>
      <c r="C43" s="70"/>
      <c r="D43" s="59"/>
      <c r="E43" s="59"/>
      <c r="F43" s="59"/>
      <c r="G43" s="60"/>
    </row>
    <row r="44" spans="1:7" ht="21">
      <c r="A44" s="78"/>
      <c r="B44" s="81">
        <v>24</v>
      </c>
      <c r="C44" s="70"/>
      <c r="D44" s="59"/>
      <c r="E44" s="59"/>
      <c r="F44" s="59"/>
      <c r="G44" s="60"/>
    </row>
    <row r="45" spans="1:7" ht="21.6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3.8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7620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7620</xdr:colOff>
                <xdr:row>1</xdr:row>
                <xdr:rowOff>160020</xdr:rowOff>
              </from>
              <to>
                <xdr:col>6</xdr:col>
                <xdr:colOff>76200</xdr:colOff>
                <xdr:row>3</xdr:row>
                <xdr:rowOff>198120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7620</xdr:colOff>
                <xdr:row>5</xdr:row>
                <xdr:rowOff>7620</xdr:rowOff>
              </from>
              <to>
                <xdr:col>6</xdr:col>
                <xdr:colOff>99060</xdr:colOff>
                <xdr:row>7</xdr:row>
                <xdr:rowOff>45720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546875" defaultRowHeight="19.5" customHeight="1"/>
  <cols>
    <col min="1" max="1" width="17.88671875" style="20" customWidth="1"/>
    <col min="2" max="2" width="51.33203125" style="20" customWidth="1"/>
    <col min="3" max="3" width="19.44140625" style="20" customWidth="1"/>
    <col min="4" max="16384" width="1.5546875" style="20"/>
  </cols>
  <sheetData>
    <row r="1" spans="1:4" ht="13.8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119" t="s">
        <v>21</v>
      </c>
      <c r="C3" s="16">
        <v>0</v>
      </c>
    </row>
    <row r="4" spans="1:4" ht="19.5" customHeight="1">
      <c r="A4" s="19"/>
      <c r="B4" s="120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2"/>
  <cols>
    <col min="2" max="2" width="51.88671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6" t="s">
        <v>14</v>
      </c>
      <c r="B1" s="7">
        <v>1</v>
      </c>
      <c r="C1" s="17"/>
      <c r="D1" s="85"/>
    </row>
    <row r="2" spans="1:4" ht="23.4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3.8" thickBot="1">
      <c r="A12" s="3"/>
      <c r="B12" s="3"/>
      <c r="C12" s="11"/>
      <c r="D12" s="11"/>
    </row>
    <row r="13" spans="1:4" ht="13.8" thickBot="1">
      <c r="A13" s="12" t="s">
        <v>22</v>
      </c>
      <c r="B13" s="12">
        <f>SUM(B3:B12)</f>
        <v>0</v>
      </c>
      <c r="C13" s="13"/>
      <c r="D13" s="13"/>
    </row>
    <row r="14" spans="1:4" ht="13.8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3.8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259080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42" t="s">
        <v>14</v>
      </c>
      <c r="B1" s="43">
        <v>1</v>
      </c>
      <c r="C1" s="44" t="s">
        <v>23</v>
      </c>
      <c r="D1" s="53"/>
    </row>
    <row r="2" spans="1:4" ht="23.4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3.8" thickBot="1">
      <c r="A17" s="3"/>
      <c r="B17" s="3"/>
      <c r="C17" s="11"/>
      <c r="D17" s="11"/>
    </row>
    <row r="18" spans="1:8" ht="13.8" thickBot="1">
      <c r="A18" s="47" t="s">
        <v>22</v>
      </c>
      <c r="B18" s="47">
        <f>SUM(B3:B17)</f>
        <v>0</v>
      </c>
      <c r="C18" s="48"/>
      <c r="D18" s="48"/>
    </row>
    <row r="19" spans="1:8" ht="13.8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3.8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259080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>
    <pageSetUpPr fitToPage="1"/>
  </sheetPr>
  <dimension ref="A1:H209"/>
  <sheetViews>
    <sheetView tabSelected="1" topLeftCell="A194" zoomScale="85" zoomScaleNormal="85" workbookViewId="0">
      <selection activeCell="C203" sqref="C203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91" t="s">
        <v>14</v>
      </c>
      <c r="B1" s="92">
        <v>1</v>
      </c>
      <c r="C1" s="91" t="s">
        <v>23</v>
      </c>
      <c r="D1" s="93">
        <f>Donnees!$C$9</f>
        <v>45967</v>
      </c>
    </row>
    <row r="2" spans="1:4" ht="23.4" thickBot="1">
      <c r="A2" s="94" t="s">
        <v>3</v>
      </c>
      <c r="B2" s="95" t="s">
        <v>15</v>
      </c>
      <c r="C2" s="94" t="s">
        <v>7</v>
      </c>
      <c r="D2" s="94" t="s">
        <v>13</v>
      </c>
    </row>
    <row r="3" spans="1:4" s="52" customFormat="1" ht="26.4">
      <c r="A3" s="96" t="s">
        <v>24</v>
      </c>
      <c r="B3" s="97"/>
      <c r="C3" s="98"/>
      <c r="D3" s="98"/>
    </row>
    <row r="4" spans="1:4" s="52" customFormat="1">
      <c r="A4" s="99"/>
      <c r="B4" s="100"/>
      <c r="C4" s="88"/>
      <c r="D4" s="88"/>
    </row>
    <row r="5" spans="1:4" s="52" customFormat="1">
      <c r="A5" s="99"/>
      <c r="B5" s="100"/>
      <c r="C5" s="88"/>
      <c r="D5" s="88"/>
    </row>
    <row r="6" spans="1:4" s="52" customFormat="1">
      <c r="A6" s="99"/>
      <c r="B6" s="100"/>
      <c r="C6" s="88"/>
      <c r="D6" s="88"/>
    </row>
    <row r="7" spans="1:4" s="52" customFormat="1">
      <c r="A7" s="99"/>
      <c r="B7" s="100"/>
      <c r="C7" s="88"/>
      <c r="D7" s="88"/>
    </row>
    <row r="8" spans="1:4" s="52" customFormat="1">
      <c r="A8" s="99"/>
      <c r="B8" s="100"/>
      <c r="C8" s="88"/>
      <c r="D8" s="88"/>
    </row>
    <row r="9" spans="1:4" s="52" customFormat="1">
      <c r="A9" s="99"/>
      <c r="B9" s="100"/>
      <c r="C9" s="88"/>
      <c r="D9" s="88"/>
    </row>
    <row r="10" spans="1:4" s="52" customFormat="1">
      <c r="A10" s="99"/>
      <c r="B10" s="100"/>
      <c r="C10" s="88"/>
      <c r="D10" s="88"/>
    </row>
    <row r="11" spans="1:4" s="52" customFormat="1">
      <c r="A11" s="99"/>
      <c r="B11" s="100"/>
      <c r="C11" s="88"/>
      <c r="D11" s="88"/>
    </row>
    <row r="12" spans="1:4" s="52" customFormat="1">
      <c r="A12" s="100"/>
      <c r="B12" s="100"/>
      <c r="C12" s="88"/>
      <c r="D12" s="88"/>
    </row>
    <row r="13" spans="1:4" s="52" customFormat="1">
      <c r="A13" s="100"/>
      <c r="B13" s="100"/>
      <c r="C13" s="88"/>
      <c r="D13" s="88"/>
    </row>
    <row r="14" spans="1:4" s="52" customFormat="1">
      <c r="A14" s="100"/>
      <c r="B14" s="100"/>
      <c r="C14" s="88"/>
      <c r="D14" s="88"/>
    </row>
    <row r="15" spans="1:4" s="52" customFormat="1">
      <c r="A15" s="101"/>
      <c r="B15" s="101"/>
      <c r="C15" s="102"/>
      <c r="D15" s="102"/>
    </row>
    <row r="16" spans="1:4" s="52" customFormat="1">
      <c r="A16" s="101"/>
      <c r="B16" s="101"/>
      <c r="C16" s="102"/>
      <c r="D16" s="102"/>
    </row>
    <row r="17" spans="1:8" s="52" customFormat="1" ht="13.8" thickBot="1">
      <c r="A17" s="103"/>
      <c r="B17" s="103"/>
      <c r="C17" s="104"/>
      <c r="D17" s="104"/>
    </row>
    <row r="18" spans="1:8" ht="13.8" thickBot="1">
      <c r="A18" s="105" t="s">
        <v>22</v>
      </c>
      <c r="B18" s="105">
        <f>SUM(B3:B17)</f>
        <v>0</v>
      </c>
      <c r="C18" s="106" t="s">
        <v>28</v>
      </c>
      <c r="D18" s="107"/>
    </row>
    <row r="19" spans="1:8" ht="14.4" thickBot="1">
      <c r="A19" s="108"/>
      <c r="B19" s="108"/>
      <c r="C19" s="108"/>
      <c r="D19" s="108"/>
    </row>
    <row r="20" spans="1:8" ht="18" thickBot="1">
      <c r="A20" s="91" t="s">
        <v>14</v>
      </c>
      <c r="B20" s="92">
        <v>2</v>
      </c>
      <c r="C20" s="91" t="s">
        <v>23</v>
      </c>
      <c r="D20" s="93">
        <f>$D$1+7</f>
        <v>45974</v>
      </c>
    </row>
    <row r="21" spans="1:8" ht="23.4" thickBot="1">
      <c r="A21" s="94" t="s">
        <v>3</v>
      </c>
      <c r="B21" s="95" t="s">
        <v>15</v>
      </c>
      <c r="C21" s="94" t="s">
        <v>7</v>
      </c>
      <c r="D21" s="94" t="s">
        <v>13</v>
      </c>
    </row>
    <row r="22" spans="1:8">
      <c r="A22" s="109" t="s">
        <v>30</v>
      </c>
      <c r="B22" s="97">
        <v>2</v>
      </c>
      <c r="C22" s="86" t="s">
        <v>43</v>
      </c>
      <c r="D22" s="110" t="s">
        <v>42</v>
      </c>
    </row>
    <row r="23" spans="1:8">
      <c r="A23" s="111" t="s">
        <v>31</v>
      </c>
      <c r="B23" s="100">
        <v>1</v>
      </c>
      <c r="C23" s="87" t="s">
        <v>32</v>
      </c>
      <c r="D23" s="88"/>
    </row>
    <row r="24" spans="1:8" ht="26.4">
      <c r="A24" s="111" t="s">
        <v>34</v>
      </c>
      <c r="B24" s="100">
        <v>2</v>
      </c>
      <c r="C24" s="87" t="s">
        <v>33</v>
      </c>
      <c r="D24" s="110" t="s">
        <v>63</v>
      </c>
    </row>
    <row r="25" spans="1:8" ht="12.75" customHeight="1">
      <c r="A25" s="111" t="s">
        <v>29</v>
      </c>
      <c r="B25" s="100">
        <v>4</v>
      </c>
      <c r="C25" s="87" t="s">
        <v>62</v>
      </c>
      <c r="D25" s="110" t="s">
        <v>35</v>
      </c>
      <c r="F25" s="31"/>
      <c r="G25" s="32"/>
      <c r="H25" s="33"/>
    </row>
    <row r="26" spans="1:8" ht="15">
      <c r="A26" s="99"/>
      <c r="B26" s="100"/>
      <c r="C26" s="88"/>
      <c r="D26" s="88"/>
      <c r="F26" s="34"/>
      <c r="G26" s="30"/>
      <c r="H26" s="30"/>
    </row>
    <row r="27" spans="1:8">
      <c r="A27" s="99"/>
      <c r="B27" s="100"/>
      <c r="C27" s="88"/>
      <c r="D27" s="88"/>
      <c r="F27" s="36"/>
      <c r="G27" s="37"/>
      <c r="H27" s="37"/>
    </row>
    <row r="28" spans="1:8">
      <c r="A28" s="99"/>
      <c r="B28" s="100"/>
      <c r="C28" s="88"/>
      <c r="D28" s="88"/>
      <c r="F28" s="36"/>
      <c r="G28" s="37"/>
      <c r="H28" s="37"/>
    </row>
    <row r="29" spans="1:8">
      <c r="A29" s="99"/>
      <c r="B29" s="100"/>
      <c r="C29" s="88"/>
      <c r="D29" s="88"/>
      <c r="F29" s="36"/>
      <c r="G29" s="37"/>
      <c r="H29" s="37"/>
    </row>
    <row r="30" spans="1:8">
      <c r="A30" s="99"/>
      <c r="B30" s="100"/>
      <c r="C30" s="88"/>
      <c r="D30" s="88"/>
      <c r="F30" s="36"/>
      <c r="G30" s="37"/>
      <c r="H30" s="37"/>
    </row>
    <row r="31" spans="1:8">
      <c r="A31" s="100"/>
      <c r="B31" s="100"/>
      <c r="C31" s="88"/>
      <c r="D31" s="88"/>
      <c r="F31" s="36"/>
      <c r="G31" s="37"/>
      <c r="H31" s="37"/>
    </row>
    <row r="32" spans="1:8">
      <c r="A32" s="100"/>
      <c r="B32" s="100"/>
      <c r="C32" s="88"/>
      <c r="D32" s="88"/>
      <c r="F32" s="36"/>
      <c r="G32" s="37"/>
      <c r="H32" s="37"/>
    </row>
    <row r="33" spans="1:8">
      <c r="A33" s="100"/>
      <c r="B33" s="100"/>
      <c r="C33" s="88"/>
      <c r="D33" s="88"/>
      <c r="F33" s="36"/>
      <c r="G33" s="37"/>
      <c r="H33" s="37"/>
    </row>
    <row r="34" spans="1:8">
      <c r="A34" s="101"/>
      <c r="B34" s="101"/>
      <c r="C34" s="102"/>
      <c r="D34" s="102"/>
      <c r="F34" s="36"/>
      <c r="G34" s="37"/>
      <c r="H34" s="37"/>
    </row>
    <row r="35" spans="1:8">
      <c r="A35" s="101"/>
      <c r="B35" s="101"/>
      <c r="C35" s="102"/>
      <c r="D35" s="102"/>
      <c r="F35" s="38"/>
      <c r="G35" s="39"/>
      <c r="H35" s="39"/>
    </row>
    <row r="36" spans="1:8" ht="14.4" thickBot="1">
      <c r="A36" s="103"/>
      <c r="B36" s="103"/>
      <c r="C36" s="104"/>
      <c r="D36" s="104"/>
      <c r="F36" s="40"/>
      <c r="G36" s="40"/>
      <c r="H36" s="40"/>
    </row>
    <row r="37" spans="1:8" ht="13.8" thickBot="1">
      <c r="A37" s="105" t="s">
        <v>22</v>
      </c>
      <c r="B37" s="105">
        <f>SUM(B22:B36)</f>
        <v>9</v>
      </c>
      <c r="C37" s="106" t="s">
        <v>28</v>
      </c>
      <c r="D37" s="107"/>
    </row>
    <row r="38" spans="1:8" ht="14.4" thickBot="1">
      <c r="A38" s="108"/>
      <c r="B38" s="108"/>
      <c r="C38" s="108"/>
      <c r="D38" s="108"/>
    </row>
    <row r="39" spans="1:8" ht="18" thickBot="1">
      <c r="A39" s="91" t="s">
        <v>14</v>
      </c>
      <c r="B39" s="92">
        <v>3</v>
      </c>
      <c r="C39" s="91" t="s">
        <v>23</v>
      </c>
      <c r="D39" s="93">
        <f>$D$20+7</f>
        <v>45981</v>
      </c>
    </row>
    <row r="40" spans="1:8" ht="23.4" thickBot="1">
      <c r="A40" s="94" t="s">
        <v>3</v>
      </c>
      <c r="B40" s="95" t="s">
        <v>15</v>
      </c>
      <c r="C40" s="94" t="s">
        <v>7</v>
      </c>
      <c r="D40" s="94" t="s">
        <v>13</v>
      </c>
    </row>
    <row r="41" spans="1:8" ht="26.4">
      <c r="A41" s="96" t="s">
        <v>24</v>
      </c>
      <c r="B41" s="97"/>
      <c r="C41" s="98"/>
      <c r="D41" s="98"/>
    </row>
    <row r="42" spans="1:8">
      <c r="A42" s="99"/>
      <c r="B42" s="100"/>
      <c r="C42" s="88"/>
      <c r="D42" s="88"/>
    </row>
    <row r="43" spans="1:8">
      <c r="A43" s="99"/>
      <c r="B43" s="100"/>
      <c r="C43" s="88"/>
      <c r="D43" s="88"/>
    </row>
    <row r="44" spans="1:8">
      <c r="A44" s="99"/>
      <c r="B44" s="100"/>
      <c r="C44" s="88"/>
      <c r="D44" s="88"/>
    </row>
    <row r="45" spans="1:8">
      <c r="A45" s="99"/>
      <c r="B45" s="100"/>
      <c r="C45" s="88"/>
      <c r="D45" s="88"/>
    </row>
    <row r="46" spans="1:8">
      <c r="A46" s="99"/>
      <c r="B46" s="100"/>
      <c r="C46" s="88"/>
      <c r="D46" s="88"/>
    </row>
    <row r="47" spans="1:8">
      <c r="A47" s="99"/>
      <c r="B47" s="100"/>
      <c r="C47" s="88"/>
      <c r="D47" s="88"/>
    </row>
    <row r="48" spans="1:8">
      <c r="A48" s="99"/>
      <c r="B48" s="100"/>
      <c r="C48" s="88"/>
      <c r="D48" s="88"/>
    </row>
    <row r="49" spans="1:4">
      <c r="A49" s="99"/>
      <c r="B49" s="100"/>
      <c r="C49" s="88"/>
      <c r="D49" s="88"/>
    </row>
    <row r="50" spans="1:4">
      <c r="A50" s="100"/>
      <c r="B50" s="100"/>
      <c r="C50" s="88"/>
      <c r="D50" s="88"/>
    </row>
    <row r="51" spans="1:4">
      <c r="A51" s="100"/>
      <c r="B51" s="100"/>
      <c r="C51" s="88"/>
      <c r="D51" s="88"/>
    </row>
    <row r="52" spans="1:4">
      <c r="A52" s="100"/>
      <c r="B52" s="100"/>
      <c r="C52" s="88"/>
      <c r="D52" s="88"/>
    </row>
    <row r="53" spans="1:4">
      <c r="A53" s="101"/>
      <c r="B53" s="101"/>
      <c r="C53" s="102"/>
      <c r="D53" s="102"/>
    </row>
    <row r="54" spans="1:4">
      <c r="A54" s="101"/>
      <c r="B54" s="101"/>
      <c r="C54" s="102"/>
      <c r="D54" s="102"/>
    </row>
    <row r="55" spans="1:4" ht="13.8" thickBot="1">
      <c r="A55" s="103"/>
      <c r="B55" s="103"/>
      <c r="C55" s="104"/>
      <c r="D55" s="104"/>
    </row>
    <row r="56" spans="1:4" ht="13.8" thickBot="1">
      <c r="A56" s="105" t="s">
        <v>22</v>
      </c>
      <c r="B56" s="105">
        <f>SUM(B41:B55)</f>
        <v>0</v>
      </c>
      <c r="C56" s="106" t="s">
        <v>28</v>
      </c>
      <c r="D56" s="107"/>
    </row>
    <row r="57" spans="1:4" ht="14.4" thickBot="1">
      <c r="A57" s="108"/>
      <c r="B57" s="108"/>
      <c r="C57" s="108"/>
      <c r="D57" s="108"/>
    </row>
    <row r="58" spans="1:4" ht="18" thickBot="1">
      <c r="A58" s="91" t="s">
        <v>14</v>
      </c>
      <c r="B58" s="92">
        <v>4</v>
      </c>
      <c r="C58" s="91" t="s">
        <v>23</v>
      </c>
      <c r="D58" s="93">
        <f>$D$39+7</f>
        <v>45988</v>
      </c>
    </row>
    <row r="59" spans="1:4" ht="23.4" thickBot="1">
      <c r="A59" s="94" t="s">
        <v>3</v>
      </c>
      <c r="B59" s="95" t="s">
        <v>15</v>
      </c>
      <c r="C59" s="94" t="s">
        <v>7</v>
      </c>
      <c r="D59" s="94" t="s">
        <v>13</v>
      </c>
    </row>
    <row r="60" spans="1:4" ht="52.8">
      <c r="A60" s="109" t="s">
        <v>29</v>
      </c>
      <c r="B60" s="97">
        <v>1</v>
      </c>
      <c r="C60" s="86" t="s">
        <v>38</v>
      </c>
      <c r="D60" s="110" t="s">
        <v>37</v>
      </c>
    </row>
    <row r="61" spans="1:4" ht="26.4">
      <c r="A61" s="111" t="s">
        <v>41</v>
      </c>
      <c r="B61" s="100">
        <v>2</v>
      </c>
      <c r="C61" s="87" t="s">
        <v>36</v>
      </c>
      <c r="D61" s="88"/>
    </row>
    <row r="62" spans="1:4">
      <c r="A62" s="111" t="s">
        <v>40</v>
      </c>
      <c r="B62" s="100">
        <v>2</v>
      </c>
      <c r="C62" s="87" t="s">
        <v>39</v>
      </c>
      <c r="D62" s="88"/>
    </row>
    <row r="63" spans="1:4">
      <c r="A63" s="99"/>
      <c r="B63" s="100"/>
      <c r="C63" s="88"/>
      <c r="D63" s="88"/>
    </row>
    <row r="64" spans="1:4">
      <c r="A64" s="99"/>
      <c r="B64" s="100"/>
      <c r="C64" s="88"/>
      <c r="D64" s="88"/>
    </row>
    <row r="65" spans="1:4">
      <c r="A65" s="99"/>
      <c r="B65" s="100"/>
      <c r="C65" s="88"/>
      <c r="D65" s="88"/>
    </row>
    <row r="66" spans="1:4">
      <c r="A66" s="99"/>
      <c r="B66" s="100"/>
      <c r="C66" s="88"/>
      <c r="D66" s="88"/>
    </row>
    <row r="67" spans="1:4">
      <c r="A67" s="99"/>
      <c r="B67" s="100"/>
      <c r="C67" s="88"/>
      <c r="D67" s="88"/>
    </row>
    <row r="68" spans="1:4">
      <c r="A68" s="99"/>
      <c r="B68" s="100"/>
      <c r="C68" s="88"/>
      <c r="D68" s="88"/>
    </row>
    <row r="69" spans="1:4">
      <c r="A69" s="100"/>
      <c r="B69" s="100"/>
      <c r="C69" s="88"/>
      <c r="D69" s="88"/>
    </row>
    <row r="70" spans="1:4">
      <c r="A70" s="100"/>
      <c r="B70" s="100"/>
      <c r="C70" s="88"/>
      <c r="D70" s="88"/>
    </row>
    <row r="71" spans="1:4">
      <c r="A71" s="100"/>
      <c r="B71" s="100"/>
      <c r="C71" s="88"/>
      <c r="D71" s="88"/>
    </row>
    <row r="72" spans="1:4">
      <c r="A72" s="101"/>
      <c r="B72" s="101"/>
      <c r="C72" s="102"/>
      <c r="D72" s="102"/>
    </row>
    <row r="73" spans="1:4">
      <c r="A73" s="101"/>
      <c r="B73" s="101"/>
      <c r="C73" s="102"/>
      <c r="D73" s="102"/>
    </row>
    <row r="74" spans="1:4" ht="13.8" thickBot="1">
      <c r="A74" s="103"/>
      <c r="B74" s="103"/>
      <c r="C74" s="104"/>
      <c r="D74" s="104"/>
    </row>
    <row r="75" spans="1:4" ht="13.8" thickBot="1">
      <c r="A75" s="105" t="s">
        <v>22</v>
      </c>
      <c r="B75" s="105">
        <f>SUM(B60:B74)</f>
        <v>5</v>
      </c>
      <c r="C75" s="106" t="s">
        <v>28</v>
      </c>
      <c r="D75" s="107"/>
    </row>
    <row r="76" spans="1:4" ht="14.4" thickBot="1">
      <c r="A76" s="108"/>
      <c r="B76" s="108"/>
      <c r="C76" s="108"/>
      <c r="D76" s="108"/>
    </row>
    <row r="77" spans="1:4" ht="18" thickBot="1">
      <c r="A77" s="91" t="s">
        <v>14</v>
      </c>
      <c r="B77" s="92">
        <v>5</v>
      </c>
      <c r="C77" s="91" t="s">
        <v>23</v>
      </c>
      <c r="D77" s="93">
        <f>$D$58+7</f>
        <v>45995</v>
      </c>
    </row>
    <row r="78" spans="1:4" ht="23.4" thickBot="1">
      <c r="A78" s="94" t="s">
        <v>3</v>
      </c>
      <c r="B78" s="95" t="s">
        <v>15</v>
      </c>
      <c r="C78" s="94" t="s">
        <v>7</v>
      </c>
      <c r="D78" s="94" t="s">
        <v>13</v>
      </c>
    </row>
    <row r="79" spans="1:4" ht="26.4">
      <c r="A79" s="109" t="s">
        <v>29</v>
      </c>
      <c r="B79" s="97">
        <v>1</v>
      </c>
      <c r="C79" s="89" t="s">
        <v>45</v>
      </c>
      <c r="D79" s="110" t="s">
        <v>44</v>
      </c>
    </row>
    <row r="80" spans="1:4" ht="26.4">
      <c r="A80" s="111" t="s">
        <v>50</v>
      </c>
      <c r="B80" s="100">
        <v>1</v>
      </c>
      <c r="C80" s="90" t="s">
        <v>46</v>
      </c>
      <c r="D80" s="87"/>
    </row>
    <row r="81" spans="1:4" ht="26.4">
      <c r="A81" s="111" t="s">
        <v>51</v>
      </c>
      <c r="B81" s="100">
        <v>1</v>
      </c>
      <c r="C81" s="87" t="s">
        <v>48</v>
      </c>
      <c r="D81" s="110" t="s">
        <v>47</v>
      </c>
    </row>
    <row r="82" spans="1:4">
      <c r="A82" s="111" t="s">
        <v>52</v>
      </c>
      <c r="B82" s="100">
        <v>2</v>
      </c>
      <c r="C82" s="87" t="s">
        <v>49</v>
      </c>
      <c r="D82" s="88"/>
    </row>
    <row r="83" spans="1:4" ht="26.4">
      <c r="A83" s="111" t="s">
        <v>52</v>
      </c>
      <c r="B83" s="100">
        <v>2</v>
      </c>
      <c r="C83" s="87" t="s">
        <v>53</v>
      </c>
      <c r="D83" s="88"/>
    </row>
    <row r="84" spans="1:4">
      <c r="A84" s="111" t="s">
        <v>50</v>
      </c>
      <c r="B84" s="100">
        <v>1</v>
      </c>
      <c r="C84" s="87" t="s">
        <v>55</v>
      </c>
      <c r="D84" s="110" t="s">
        <v>54</v>
      </c>
    </row>
    <row r="85" spans="1:4">
      <c r="A85" s="111" t="s">
        <v>56</v>
      </c>
      <c r="B85" s="100">
        <v>1</v>
      </c>
      <c r="C85" s="87" t="s">
        <v>57</v>
      </c>
      <c r="D85" s="88"/>
    </row>
    <row r="86" spans="1:4">
      <c r="A86" s="99"/>
      <c r="B86" s="100"/>
      <c r="C86" s="88"/>
      <c r="D86" s="88"/>
    </row>
    <row r="87" spans="1:4">
      <c r="A87" s="99"/>
      <c r="B87" s="100"/>
      <c r="C87" s="88"/>
      <c r="D87" s="88"/>
    </row>
    <row r="88" spans="1:4">
      <c r="A88" s="100"/>
      <c r="B88" s="100"/>
      <c r="C88" s="88"/>
      <c r="D88" s="88"/>
    </row>
    <row r="89" spans="1:4">
      <c r="A89" s="100"/>
      <c r="B89" s="100"/>
      <c r="C89" s="88"/>
      <c r="D89" s="88"/>
    </row>
    <row r="90" spans="1:4">
      <c r="A90" s="100"/>
      <c r="B90" s="100"/>
      <c r="C90" s="88"/>
      <c r="D90" s="88"/>
    </row>
    <row r="91" spans="1:4">
      <c r="A91" s="101"/>
      <c r="B91" s="101"/>
      <c r="C91" s="102"/>
      <c r="D91" s="102"/>
    </row>
    <row r="92" spans="1:4">
      <c r="A92" s="101"/>
      <c r="B92" s="101"/>
      <c r="C92" s="102"/>
      <c r="D92" s="102"/>
    </row>
    <row r="93" spans="1:4" ht="13.8" thickBot="1">
      <c r="A93" s="103"/>
      <c r="B93" s="103"/>
      <c r="C93" s="104"/>
      <c r="D93" s="104"/>
    </row>
    <row r="94" spans="1:4" ht="13.8" thickBot="1">
      <c r="A94" s="105" t="s">
        <v>22</v>
      </c>
      <c r="B94" s="105">
        <f>SUM(B79:B93)</f>
        <v>9</v>
      </c>
      <c r="C94" s="106" t="s">
        <v>28</v>
      </c>
      <c r="D94" s="107"/>
    </row>
    <row r="95" spans="1:4" ht="14.4" thickBot="1">
      <c r="A95" s="108"/>
      <c r="B95" s="108"/>
      <c r="C95" s="108"/>
      <c r="D95" s="108"/>
    </row>
    <row r="96" spans="1:4" ht="18" thickBot="1">
      <c r="A96" s="91" t="s">
        <v>14</v>
      </c>
      <c r="B96" s="92">
        <v>6</v>
      </c>
      <c r="C96" s="91" t="s">
        <v>23</v>
      </c>
      <c r="D96" s="93">
        <v>45999</v>
      </c>
    </row>
    <row r="97" spans="1:4" ht="23.4" thickBot="1">
      <c r="A97" s="94" t="s">
        <v>3</v>
      </c>
      <c r="B97" s="95" t="s">
        <v>15</v>
      </c>
      <c r="C97" s="94" t="s">
        <v>7</v>
      </c>
      <c r="D97" s="94" t="s">
        <v>13</v>
      </c>
    </row>
    <row r="98" spans="1:4" ht="26.4">
      <c r="A98" s="96" t="s">
        <v>24</v>
      </c>
      <c r="B98" s="97"/>
      <c r="C98" s="86" t="s">
        <v>58</v>
      </c>
      <c r="D98" s="98"/>
    </row>
    <row r="99" spans="1:4" ht="26.4">
      <c r="A99" s="99"/>
      <c r="B99" s="100"/>
      <c r="C99" s="87" t="s">
        <v>64</v>
      </c>
      <c r="D99" s="110" t="s">
        <v>59</v>
      </c>
    </row>
    <row r="100" spans="1:4" ht="26.4">
      <c r="A100" s="99"/>
      <c r="B100" s="100"/>
      <c r="C100" s="87" t="s">
        <v>65</v>
      </c>
      <c r="D100" s="88"/>
    </row>
    <row r="101" spans="1:4">
      <c r="A101" s="99"/>
      <c r="B101" s="100"/>
      <c r="C101" s="87" t="s">
        <v>66</v>
      </c>
      <c r="D101" s="88"/>
    </row>
    <row r="102" spans="1:4">
      <c r="A102" s="99"/>
      <c r="B102" s="100"/>
      <c r="C102" s="87" t="s">
        <v>67</v>
      </c>
      <c r="D102" s="88"/>
    </row>
    <row r="103" spans="1:4">
      <c r="A103" s="99"/>
      <c r="B103" s="100"/>
      <c r="C103" s="87" t="s">
        <v>61</v>
      </c>
      <c r="D103" s="110" t="s">
        <v>60</v>
      </c>
    </row>
    <row r="104" spans="1:4">
      <c r="A104" s="99"/>
      <c r="B104" s="100"/>
      <c r="C104" s="87" t="s">
        <v>68</v>
      </c>
      <c r="D104" s="88"/>
    </row>
    <row r="105" spans="1:4" ht="26.4">
      <c r="A105" s="99"/>
      <c r="B105" s="100"/>
      <c r="C105" s="88" t="s">
        <v>69</v>
      </c>
      <c r="D105" s="88"/>
    </row>
    <row r="106" spans="1:4">
      <c r="A106" s="99"/>
      <c r="B106" s="100"/>
      <c r="C106" s="88"/>
      <c r="D106" s="88"/>
    </row>
    <row r="107" spans="1:4">
      <c r="A107" s="100"/>
      <c r="B107" s="100"/>
      <c r="C107" s="88"/>
      <c r="D107" s="88"/>
    </row>
    <row r="108" spans="1:4">
      <c r="A108" s="100"/>
      <c r="B108" s="100"/>
      <c r="C108" s="88"/>
      <c r="D108" s="88"/>
    </row>
    <row r="109" spans="1:4">
      <c r="A109" s="100"/>
      <c r="B109" s="100"/>
      <c r="C109" s="88"/>
      <c r="D109" s="88"/>
    </row>
    <row r="110" spans="1:4">
      <c r="A110" s="101"/>
      <c r="B110" s="101"/>
      <c r="C110" s="102"/>
      <c r="D110" s="102"/>
    </row>
    <row r="111" spans="1:4">
      <c r="A111" s="101"/>
      <c r="B111" s="101"/>
      <c r="C111" s="102"/>
      <c r="D111" s="102"/>
    </row>
    <row r="112" spans="1:4" ht="13.8" thickBot="1">
      <c r="A112" s="103"/>
      <c r="B112" s="103"/>
      <c r="C112" s="104"/>
      <c r="D112" s="104"/>
    </row>
    <row r="113" spans="1:4" ht="13.8" thickBot="1">
      <c r="A113" s="105" t="s">
        <v>22</v>
      </c>
      <c r="B113" s="105">
        <f>SUM(B98:B112)</f>
        <v>0</v>
      </c>
      <c r="C113" s="106" t="s">
        <v>28</v>
      </c>
      <c r="D113" s="107"/>
    </row>
    <row r="114" spans="1:4" ht="14.4" thickBot="1">
      <c r="A114" s="108"/>
      <c r="B114" s="108"/>
      <c r="C114" s="108"/>
      <c r="D114" s="108"/>
    </row>
    <row r="115" spans="1:4" ht="18" thickBot="1">
      <c r="A115" s="91" t="s">
        <v>14</v>
      </c>
      <c r="B115" s="92">
        <v>7</v>
      </c>
      <c r="C115" s="91" t="s">
        <v>23</v>
      </c>
      <c r="D115" s="93">
        <f>D96+3</f>
        <v>46002</v>
      </c>
    </row>
    <row r="116" spans="1:4" ht="23.4" thickBot="1">
      <c r="A116" s="94" t="s">
        <v>3</v>
      </c>
      <c r="B116" s="95" t="s">
        <v>15</v>
      </c>
      <c r="C116" s="94" t="s">
        <v>7</v>
      </c>
      <c r="D116" s="94" t="s">
        <v>13</v>
      </c>
    </row>
    <row r="117" spans="1:4">
      <c r="A117" s="109" t="s">
        <v>74</v>
      </c>
      <c r="B117" s="97">
        <v>2</v>
      </c>
      <c r="C117" s="86"/>
      <c r="D117" s="98"/>
    </row>
    <row r="118" spans="1:4">
      <c r="A118" s="99"/>
      <c r="B118" s="100">
        <v>1</v>
      </c>
      <c r="C118" s="87" t="s">
        <v>70</v>
      </c>
      <c r="D118" s="88"/>
    </row>
    <row r="119" spans="1:4">
      <c r="A119" s="111"/>
      <c r="B119" s="100">
        <v>2</v>
      </c>
      <c r="C119" s="87" t="s">
        <v>72</v>
      </c>
      <c r="D119" s="88"/>
    </row>
    <row r="120" spans="1:4" ht="26.4">
      <c r="A120" s="99"/>
      <c r="B120" s="100">
        <v>3</v>
      </c>
      <c r="C120" s="87" t="s">
        <v>73</v>
      </c>
      <c r="D120" s="112" t="s">
        <v>71</v>
      </c>
    </row>
    <row r="121" spans="1:4">
      <c r="A121" s="99"/>
      <c r="B121" s="100">
        <v>1</v>
      </c>
      <c r="C121" s="87" t="s">
        <v>76</v>
      </c>
      <c r="D121" s="112" t="s">
        <v>77</v>
      </c>
    </row>
    <row r="122" spans="1:4">
      <c r="A122" s="99"/>
      <c r="B122" s="100"/>
      <c r="C122" s="88"/>
      <c r="D122" s="88"/>
    </row>
    <row r="123" spans="1:4">
      <c r="A123" s="99"/>
      <c r="B123" s="100"/>
      <c r="C123" s="88"/>
      <c r="D123" s="88"/>
    </row>
    <row r="124" spans="1:4">
      <c r="A124" s="99"/>
      <c r="B124" s="100"/>
      <c r="C124" s="88"/>
      <c r="D124" s="88"/>
    </row>
    <row r="125" spans="1:4">
      <c r="A125" s="99"/>
      <c r="B125" s="100"/>
      <c r="C125" s="88"/>
      <c r="D125" s="88"/>
    </row>
    <row r="126" spans="1:4">
      <c r="A126" s="100"/>
      <c r="B126" s="100"/>
      <c r="C126" s="88"/>
      <c r="D126" s="88"/>
    </row>
    <row r="127" spans="1:4">
      <c r="A127" s="100"/>
      <c r="B127" s="100"/>
      <c r="C127" s="88"/>
      <c r="D127" s="88"/>
    </row>
    <row r="128" spans="1:4">
      <c r="A128" s="100"/>
      <c r="B128" s="100"/>
      <c r="C128" s="88"/>
      <c r="D128" s="88"/>
    </row>
    <row r="129" spans="1:5">
      <c r="A129" s="101"/>
      <c r="B129" s="101"/>
      <c r="C129" s="102"/>
      <c r="D129" s="102"/>
    </row>
    <row r="130" spans="1:5">
      <c r="A130" s="101"/>
      <c r="B130" s="101"/>
      <c r="C130" s="102"/>
      <c r="D130" s="102"/>
    </row>
    <row r="131" spans="1:5" ht="13.8" thickBot="1">
      <c r="A131" s="103"/>
      <c r="B131" s="103"/>
      <c r="C131" s="104"/>
      <c r="D131" s="104"/>
    </row>
    <row r="132" spans="1:5" ht="13.8" thickBot="1">
      <c r="A132" s="105" t="s">
        <v>22</v>
      </c>
      <c r="B132" s="105">
        <f>SUM(B117:B131)</f>
        <v>9</v>
      </c>
      <c r="C132" s="106" t="s">
        <v>75</v>
      </c>
      <c r="D132" s="107"/>
    </row>
    <row r="133" spans="1:5" ht="14.4" thickBot="1">
      <c r="A133" s="108"/>
      <c r="B133" s="108"/>
      <c r="C133" s="108"/>
      <c r="D133" s="108"/>
    </row>
    <row r="134" spans="1:5" ht="18" thickBot="1">
      <c r="A134" s="91" t="s">
        <v>14</v>
      </c>
      <c r="B134" s="92">
        <v>8</v>
      </c>
      <c r="C134" s="91" t="s">
        <v>23</v>
      </c>
      <c r="D134" s="93">
        <f>$D$115+7</f>
        <v>46009</v>
      </c>
    </row>
    <row r="135" spans="1:5" ht="23.4" thickBot="1">
      <c r="A135" s="94" t="s">
        <v>3</v>
      </c>
      <c r="B135" s="95" t="s">
        <v>15</v>
      </c>
      <c r="C135" s="94" t="s">
        <v>7</v>
      </c>
      <c r="D135" s="94" t="s">
        <v>13</v>
      </c>
    </row>
    <row r="136" spans="1:5">
      <c r="A136" s="96"/>
      <c r="B136" s="97">
        <v>6</v>
      </c>
      <c r="C136" s="86" t="s">
        <v>78</v>
      </c>
      <c r="D136" s="98"/>
    </row>
    <row r="137" spans="1:5">
      <c r="A137" s="99"/>
      <c r="B137" s="100">
        <v>1</v>
      </c>
      <c r="C137" s="87" t="s">
        <v>79</v>
      </c>
      <c r="D137" s="88"/>
    </row>
    <row r="138" spans="1:5" ht="26.4">
      <c r="A138" s="99"/>
      <c r="B138" s="100">
        <v>1</v>
      </c>
      <c r="C138" s="87" t="s">
        <v>80</v>
      </c>
      <c r="D138" s="113" t="s">
        <v>81</v>
      </c>
      <c r="E138" s="114"/>
    </row>
    <row r="139" spans="1:5">
      <c r="A139" s="99"/>
      <c r="B139" s="100">
        <v>1</v>
      </c>
      <c r="C139" s="87" t="s">
        <v>82</v>
      </c>
      <c r="D139" s="115"/>
      <c r="E139" s="114"/>
    </row>
    <row r="140" spans="1:5" ht="26.4">
      <c r="A140" s="99"/>
      <c r="B140" s="100">
        <v>1</v>
      </c>
      <c r="C140" s="87" t="s">
        <v>84</v>
      </c>
      <c r="D140" s="113" t="s">
        <v>83</v>
      </c>
      <c r="E140" s="114"/>
    </row>
    <row r="141" spans="1:5">
      <c r="A141" s="99"/>
      <c r="B141" s="100">
        <v>2</v>
      </c>
      <c r="C141" s="87" t="s">
        <v>85</v>
      </c>
      <c r="D141" s="88"/>
    </row>
    <row r="142" spans="1:5">
      <c r="A142" s="99"/>
      <c r="B142" s="100">
        <v>1</v>
      </c>
      <c r="C142" s="116" t="s">
        <v>86</v>
      </c>
      <c r="D142" s="88"/>
    </row>
    <row r="143" spans="1:5">
      <c r="A143" s="99"/>
      <c r="B143" s="100">
        <v>2</v>
      </c>
      <c r="C143" s="87" t="s">
        <v>87</v>
      </c>
      <c r="D143" s="88"/>
    </row>
    <row r="144" spans="1:5">
      <c r="A144" s="99"/>
      <c r="B144" s="100"/>
      <c r="C144" s="88"/>
      <c r="D144" s="88"/>
    </row>
    <row r="145" spans="1:4">
      <c r="A145" s="100"/>
      <c r="B145" s="100"/>
      <c r="C145" s="88"/>
      <c r="D145" s="88"/>
    </row>
    <row r="146" spans="1:4">
      <c r="A146" s="100"/>
      <c r="B146" s="100"/>
      <c r="C146" s="88"/>
      <c r="D146" s="88"/>
    </row>
    <row r="147" spans="1:4">
      <c r="A147" s="100"/>
      <c r="B147" s="100"/>
      <c r="C147" s="88"/>
      <c r="D147" s="88"/>
    </row>
    <row r="148" spans="1:4">
      <c r="A148" s="101"/>
      <c r="B148" s="101"/>
      <c r="C148" s="102"/>
      <c r="D148" s="102"/>
    </row>
    <row r="149" spans="1:4">
      <c r="A149" s="101"/>
      <c r="B149" s="101"/>
      <c r="C149" s="102"/>
      <c r="D149" s="102"/>
    </row>
    <row r="150" spans="1:4" ht="13.8" thickBot="1">
      <c r="A150" s="103"/>
      <c r="B150" s="103"/>
      <c r="C150" s="104"/>
      <c r="D150" s="104"/>
    </row>
    <row r="151" spans="1:4" ht="13.8" thickBot="1">
      <c r="A151" s="105" t="s">
        <v>22</v>
      </c>
      <c r="B151" s="105">
        <f>SUM(B136:B150)</f>
        <v>15</v>
      </c>
      <c r="C151" s="106" t="s">
        <v>28</v>
      </c>
      <c r="D151" s="107"/>
    </row>
    <row r="152" spans="1:4" ht="14.4" thickBot="1">
      <c r="A152" s="108"/>
      <c r="B152" s="108"/>
      <c r="C152" s="108"/>
      <c r="D152" s="108"/>
    </row>
    <row r="153" spans="1:4" ht="18" thickBot="1">
      <c r="A153" s="91" t="s">
        <v>14</v>
      </c>
      <c r="B153" s="92">
        <v>9</v>
      </c>
      <c r="C153" s="91" t="s">
        <v>23</v>
      </c>
      <c r="D153" s="93">
        <f>$D$134+7</f>
        <v>46016</v>
      </c>
    </row>
    <row r="154" spans="1:4" ht="23.4" thickBot="1">
      <c r="A154" s="94" t="s">
        <v>3</v>
      </c>
      <c r="B154" s="95" t="s">
        <v>15</v>
      </c>
      <c r="C154" s="94" t="s">
        <v>7</v>
      </c>
      <c r="D154" s="94" t="s">
        <v>13</v>
      </c>
    </row>
    <row r="155" spans="1:4" ht="26.4">
      <c r="A155" s="96" t="s">
        <v>24</v>
      </c>
      <c r="B155" s="97"/>
      <c r="C155" s="86"/>
      <c r="D155" s="98"/>
    </row>
    <row r="156" spans="1:4">
      <c r="A156" s="99"/>
      <c r="B156" s="100"/>
      <c r="C156" s="88"/>
      <c r="D156" s="88"/>
    </row>
    <row r="157" spans="1:4">
      <c r="A157" s="99"/>
      <c r="B157" s="100"/>
      <c r="C157" s="88"/>
      <c r="D157" s="88"/>
    </row>
    <row r="158" spans="1:4">
      <c r="A158" s="99"/>
      <c r="B158" s="100"/>
      <c r="C158" s="88"/>
      <c r="D158" s="88"/>
    </row>
    <row r="159" spans="1:4">
      <c r="A159" s="99"/>
      <c r="B159" s="100"/>
      <c r="C159" s="88"/>
      <c r="D159" s="88"/>
    </row>
    <row r="160" spans="1:4">
      <c r="A160" s="99"/>
      <c r="B160" s="100"/>
      <c r="C160" s="88"/>
      <c r="D160" s="88"/>
    </row>
    <row r="161" spans="1:4">
      <c r="A161" s="99"/>
      <c r="B161" s="100"/>
      <c r="C161" s="88"/>
      <c r="D161" s="88"/>
    </row>
    <row r="162" spans="1:4">
      <c r="A162" s="99"/>
      <c r="B162" s="100"/>
      <c r="C162" s="88"/>
      <c r="D162" s="88"/>
    </row>
    <row r="163" spans="1:4">
      <c r="A163" s="99"/>
      <c r="B163" s="100"/>
      <c r="C163" s="88"/>
      <c r="D163" s="88"/>
    </row>
    <row r="164" spans="1:4">
      <c r="A164" s="100"/>
      <c r="B164" s="100"/>
      <c r="C164" s="88"/>
      <c r="D164" s="88"/>
    </row>
    <row r="165" spans="1:4">
      <c r="A165" s="100"/>
      <c r="B165" s="100"/>
      <c r="C165" s="88"/>
      <c r="D165" s="88"/>
    </row>
    <row r="166" spans="1:4">
      <c r="A166" s="100"/>
      <c r="B166" s="100"/>
      <c r="C166" s="88"/>
      <c r="D166" s="88"/>
    </row>
    <row r="167" spans="1:4">
      <c r="A167" s="101"/>
      <c r="B167" s="101"/>
      <c r="C167" s="102"/>
      <c r="D167" s="102"/>
    </row>
    <row r="168" spans="1:4">
      <c r="A168" s="101"/>
      <c r="B168" s="101"/>
      <c r="C168" s="102"/>
      <c r="D168" s="102"/>
    </row>
    <row r="169" spans="1:4" ht="13.8" thickBot="1">
      <c r="A169" s="103"/>
      <c r="B169" s="103"/>
      <c r="C169" s="104"/>
      <c r="D169" s="104"/>
    </row>
    <row r="170" spans="1:4" ht="13.8" thickBot="1">
      <c r="A170" s="105" t="s">
        <v>22</v>
      </c>
      <c r="B170" s="105">
        <f>SUM(B155:B169)</f>
        <v>0</v>
      </c>
      <c r="C170" s="106" t="s">
        <v>28</v>
      </c>
      <c r="D170" s="107"/>
    </row>
    <row r="171" spans="1:4" ht="14.4" thickBot="1">
      <c r="A171" s="108"/>
      <c r="B171" s="108"/>
      <c r="C171" s="108"/>
      <c r="D171" s="108"/>
    </row>
    <row r="172" spans="1:4" ht="18" thickBot="1">
      <c r="A172" s="91" t="s">
        <v>14</v>
      </c>
      <c r="B172" s="92">
        <v>10</v>
      </c>
      <c r="C172" s="91" t="s">
        <v>23</v>
      </c>
      <c r="D172" s="93">
        <f>$D$153+7</f>
        <v>46023</v>
      </c>
    </row>
    <row r="173" spans="1:4" ht="23.4" thickBot="1">
      <c r="A173" s="94" t="s">
        <v>3</v>
      </c>
      <c r="B173" s="95" t="s">
        <v>15</v>
      </c>
      <c r="C173" s="94" t="s">
        <v>7</v>
      </c>
      <c r="D173" s="94" t="s">
        <v>13</v>
      </c>
    </row>
    <row r="174" spans="1:4" ht="26.4">
      <c r="A174" s="96" t="s">
        <v>24</v>
      </c>
      <c r="B174" s="97"/>
      <c r="C174" s="98"/>
      <c r="D174" s="98"/>
    </row>
    <row r="175" spans="1:4">
      <c r="A175" s="99"/>
      <c r="B175" s="100"/>
      <c r="C175" s="88"/>
      <c r="D175" s="88"/>
    </row>
    <row r="176" spans="1:4">
      <c r="A176" s="99"/>
      <c r="B176" s="100"/>
      <c r="C176" s="88"/>
      <c r="D176" s="88"/>
    </row>
    <row r="177" spans="1:4">
      <c r="A177" s="99"/>
      <c r="B177" s="100"/>
      <c r="C177" s="88"/>
      <c r="D177" s="88"/>
    </row>
    <row r="178" spans="1:4">
      <c r="A178" s="99"/>
      <c r="B178" s="100"/>
      <c r="C178" s="88"/>
      <c r="D178" s="88"/>
    </row>
    <row r="179" spans="1:4">
      <c r="A179" s="99"/>
      <c r="B179" s="100"/>
      <c r="C179" s="88"/>
      <c r="D179" s="88"/>
    </row>
    <row r="180" spans="1:4">
      <c r="A180" s="99"/>
      <c r="B180" s="100"/>
      <c r="C180" s="88"/>
      <c r="D180" s="88"/>
    </row>
    <row r="181" spans="1:4">
      <c r="A181" s="99"/>
      <c r="B181" s="100"/>
      <c r="C181" s="88"/>
      <c r="D181" s="88"/>
    </row>
    <row r="182" spans="1:4">
      <c r="A182" s="99"/>
      <c r="B182" s="100"/>
      <c r="C182" s="88"/>
      <c r="D182" s="88"/>
    </row>
    <row r="183" spans="1:4">
      <c r="A183" s="100"/>
      <c r="B183" s="100"/>
      <c r="C183" s="88"/>
      <c r="D183" s="88"/>
    </row>
    <row r="184" spans="1:4">
      <c r="A184" s="100"/>
      <c r="B184" s="100"/>
      <c r="C184" s="88"/>
      <c r="D184" s="88"/>
    </row>
    <row r="185" spans="1:4">
      <c r="A185" s="100"/>
      <c r="B185" s="100"/>
      <c r="C185" s="88"/>
      <c r="D185" s="88"/>
    </row>
    <row r="186" spans="1:4">
      <c r="A186" s="101"/>
      <c r="B186" s="101"/>
      <c r="C186" s="102"/>
      <c r="D186" s="102"/>
    </row>
    <row r="187" spans="1:4">
      <c r="A187" s="101"/>
      <c r="B187" s="101"/>
      <c r="C187" s="102"/>
      <c r="D187" s="102"/>
    </row>
    <row r="188" spans="1:4" ht="13.8" thickBot="1">
      <c r="A188" s="103"/>
      <c r="B188" s="103"/>
      <c r="C188" s="104"/>
      <c r="D188" s="104"/>
    </row>
    <row r="189" spans="1:4" ht="13.8" thickBot="1">
      <c r="A189" s="105" t="s">
        <v>22</v>
      </c>
      <c r="B189" s="105">
        <f>SUM(B174:B188)</f>
        <v>0</v>
      </c>
      <c r="C189" s="106" t="s">
        <v>28</v>
      </c>
      <c r="D189" s="107"/>
    </row>
    <row r="190" spans="1:4" ht="14.4" thickBot="1">
      <c r="A190" s="108"/>
      <c r="B190" s="108"/>
      <c r="C190" s="108"/>
      <c r="D190" s="108"/>
    </row>
    <row r="191" spans="1:4" ht="18" thickBot="1">
      <c r="A191" s="91" t="s">
        <v>14</v>
      </c>
      <c r="B191" s="92">
        <v>10</v>
      </c>
      <c r="C191" s="91" t="s">
        <v>23</v>
      </c>
      <c r="D191" s="93">
        <f>D172+4</f>
        <v>46027</v>
      </c>
    </row>
    <row r="192" spans="1:4" ht="23.4" thickBot="1">
      <c r="A192" s="94" t="s">
        <v>3</v>
      </c>
      <c r="B192" s="95" t="s">
        <v>15</v>
      </c>
      <c r="C192" s="94" t="s">
        <v>7</v>
      </c>
      <c r="D192" s="94" t="s">
        <v>13</v>
      </c>
    </row>
    <row r="193" spans="1:4" ht="26.4">
      <c r="A193" s="96"/>
      <c r="B193" s="97">
        <v>2</v>
      </c>
      <c r="C193" s="86" t="s">
        <v>90</v>
      </c>
      <c r="D193" s="112" t="s">
        <v>88</v>
      </c>
    </row>
    <row r="194" spans="1:4" ht="26.4">
      <c r="A194" s="99"/>
      <c r="B194" s="100">
        <v>5</v>
      </c>
      <c r="C194" s="87" t="s">
        <v>89</v>
      </c>
      <c r="D194" s="88"/>
    </row>
    <row r="195" spans="1:4" ht="26.4">
      <c r="A195" s="99"/>
      <c r="B195" s="100">
        <v>2</v>
      </c>
      <c r="C195" s="87" t="s">
        <v>91</v>
      </c>
      <c r="D195" s="88"/>
    </row>
    <row r="196" spans="1:4">
      <c r="A196" s="99"/>
      <c r="B196" s="100"/>
      <c r="C196" s="88"/>
      <c r="D196" s="88"/>
    </row>
    <row r="197" spans="1:4">
      <c r="A197" s="99"/>
      <c r="B197" s="100"/>
      <c r="C197" s="88"/>
      <c r="D197" s="88"/>
    </row>
    <row r="198" spans="1:4">
      <c r="A198" s="99"/>
      <c r="B198" s="100"/>
      <c r="C198" s="88"/>
      <c r="D198" s="88"/>
    </row>
    <row r="199" spans="1:4">
      <c r="A199" s="111" t="s">
        <v>92</v>
      </c>
      <c r="B199" s="100">
        <v>2</v>
      </c>
      <c r="C199" s="87" t="s">
        <v>95</v>
      </c>
      <c r="D199" s="112" t="s">
        <v>93</v>
      </c>
    </row>
    <row r="200" spans="1:4">
      <c r="A200" s="99"/>
      <c r="B200" s="100">
        <v>1</v>
      </c>
      <c r="C200" s="87" t="s">
        <v>96</v>
      </c>
      <c r="D200" s="112" t="s">
        <v>94</v>
      </c>
    </row>
    <row r="201" spans="1:4" ht="26.4">
      <c r="A201" s="99"/>
      <c r="B201" s="100">
        <v>3</v>
      </c>
      <c r="C201" s="87" t="s">
        <v>97</v>
      </c>
      <c r="D201" s="88"/>
    </row>
    <row r="202" spans="1:4">
      <c r="A202" s="100"/>
      <c r="B202" s="100"/>
      <c r="C202" s="88"/>
      <c r="D202" s="88"/>
    </row>
    <row r="203" spans="1:4" ht="26.4">
      <c r="A203" s="121" t="s">
        <v>98</v>
      </c>
      <c r="B203" s="100">
        <v>2</v>
      </c>
      <c r="C203" s="122" t="s">
        <v>99</v>
      </c>
      <c r="D203" s="88"/>
    </row>
    <row r="204" spans="1:4">
      <c r="A204" s="100"/>
      <c r="B204" s="100">
        <v>1</v>
      </c>
      <c r="C204" s="122" t="s">
        <v>100</v>
      </c>
      <c r="D204" s="88"/>
    </row>
    <row r="205" spans="1:4">
      <c r="A205" s="101"/>
      <c r="B205" s="101"/>
      <c r="C205" s="102"/>
      <c r="D205" s="102"/>
    </row>
    <row r="206" spans="1:4">
      <c r="A206" s="101"/>
      <c r="B206" s="101"/>
      <c r="C206" s="102"/>
      <c r="D206" s="102"/>
    </row>
    <row r="207" spans="1:4" ht="13.8" thickBot="1">
      <c r="A207" s="103"/>
      <c r="B207" s="103"/>
      <c r="C207" s="104"/>
      <c r="D207" s="104"/>
    </row>
    <row r="208" spans="1:4" ht="13.8" thickBot="1">
      <c r="A208" s="105" t="s">
        <v>22</v>
      </c>
      <c r="B208" s="105">
        <f>SUM(B193:B207)</f>
        <v>18</v>
      </c>
      <c r="C208" s="106" t="s">
        <v>28</v>
      </c>
      <c r="D208" s="107"/>
    </row>
    <row r="209" spans="1:4" ht="13.8">
      <c r="A209" s="108"/>
      <c r="B209" s="108"/>
      <c r="C209" s="108"/>
      <c r="D209" s="108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  <hyperlink ref="D99" r:id="rId7" location="adding-a-wait-step" display="https://docs.github.com/en/actions/tutorials/use-containerized-services/create-postgresql-service-containers - adding-a-wait-step" xr:uid="{1B07610E-3D5A-4B86-AB8D-D5FCC798B645}"/>
    <hyperlink ref="D103" r:id="rId8" display="https://linuxize.com/post/bash-until-loop/" xr:uid="{3F4AE24E-5E23-4CE3-A8ED-F6FEC34590F4}"/>
    <hyperlink ref="D24" r:id="rId9" display="https://github.com/Veronika-blub/Pipeline-CICD" xr:uid="{B82599AD-7173-447C-9AB1-CCE99FC4AD32}"/>
    <hyperlink ref="D120" r:id="rId10" display="https://medium.com/@mayankarya837/comprehensive-guide-to-using-snyk-in-ci-cd-pipelines-154a8f118b7c" xr:uid="{58DCC730-794F-43F8-8BAA-48B8749DC090}"/>
    <hyperlink ref="D121" r:id="rId11" display="https://docs.appcircle.io/workflows/common-workflow-steps/sonarqube" xr:uid="{6499BA54-1593-4AAA-ABA3-271744BDA890}"/>
    <hyperlink ref="D138" r:id="rId12" display="https://dev.to/nivicius/how-to-enable-codeql-analysis-in-your-github-repository-5ad3" xr:uid="{E7AB0ED4-7E5F-452D-9173-430D1204E6C5}"/>
    <hyperlink ref="D140" r:id="rId13" display="https://docs.github.com/en/actions/tutorials/store-and-share-data" xr:uid="{37122E87-E4C4-43B5-B302-1354D89642AA}"/>
    <hyperlink ref="D193" r:id="rId14" display="https://github.blog/changelog/2025-10-28-upcoming-deprecation-of-codeql-action-v3/" xr:uid="{76CF1503-FABD-42FB-8A6A-306D6EAEB975}"/>
    <hyperlink ref="D199" r:id="rId15" display="https://stackoverflow.com/questions/77916689/failing-to-upload-artifact" xr:uid="{746A0ECA-6757-49E6-B4D5-6EDFA0B72AC2}"/>
    <hyperlink ref="D200" r:id="rId16" display="https://www.kulik.io/2024/08/06/enhancing-php-code-quality-integrating-php-cs-fixer-with-github-actions/" xr:uid="{8DFB7DC6-0652-4864-A0CD-A0E4F79B03CF}"/>
  </hyperlinks>
  <pageMargins left="0.25" right="0.25" top="0.75" bottom="0.75" header="0.3" footer="0.3"/>
  <pageSetup paperSize="9" scale="89" fitToHeight="0" orientation="landscape" r:id="rId17"/>
  <drawing r:id="rId18"/>
  <legacyDrawing r:id="rId19"/>
  <controls>
    <mc:AlternateContent xmlns:mc="http://schemas.openxmlformats.org/markup-compatibility/2006">
      <mc:Choice Requires="x14">
        <control shapeId="43009" r:id="rId20" name="btnImportRealisation">
          <controlPr defaultSize="0" autoLine="0" r:id="rId21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259080</xdr:colOff>
                <xdr:row>2</xdr:row>
                <xdr:rowOff>152400</xdr:rowOff>
              </to>
            </anchor>
          </controlPr>
        </control>
      </mc:Choice>
      <mc:Fallback>
        <control shapeId="43009" r:id="rId20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2025-12-11T09:52:07Z</cp:lastPrinted>
  <dcterms:created xsi:type="dcterms:W3CDTF">1996-10-21T11:03:58Z</dcterms:created>
  <dcterms:modified xsi:type="dcterms:W3CDTF">2026-01-09T03:54:10Z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