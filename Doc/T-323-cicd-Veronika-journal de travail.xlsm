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u74vys\Documents\GitHub\Pipeline-CICD\Doc\"/>
    </mc:Choice>
  </mc:AlternateContent>
  <xr:revisionPtr revIDLastSave="0" documentId="13_ncr:1_{3D54DBCA-6933-4079-A49F-E9DAAA71C482}" xr6:coauthVersionLast="47" xr6:coauthVersionMax="47" xr10:uidLastSave="{00000000-0000-0000-0000-000000000000}"/>
  <bookViews>
    <workbookView xWindow="32130" yWindow="2655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2" i="156" l="1"/>
  <c r="D153" i="156"/>
  <c r="D134" i="156"/>
  <c r="D115" i="156"/>
  <c r="D96" i="156"/>
  <c r="D77" i="156"/>
  <c r="D58" i="156"/>
  <c r="D39" i="156"/>
  <c r="D20" i="156"/>
  <c r="D1" i="156"/>
  <c r="B189" i="156"/>
  <c r="B170" i="156"/>
  <c r="B151" i="156"/>
  <c r="B132" i="156"/>
  <c r="B113" i="156"/>
  <c r="B94" i="156"/>
  <c r="B75" i="156"/>
  <c r="B56" i="156"/>
  <c r="B37" i="156"/>
  <c r="B18" i="156"/>
  <c r="B18" i="154"/>
  <c r="B13" i="11" l="1"/>
</calcChain>
</file>

<file path=xl/sharedStrings.xml><?xml version="1.0" encoding="utf-8"?>
<sst xmlns="http://schemas.openxmlformats.org/spreadsheetml/2006/main" count="134" uniqueCount="46">
  <si>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</si>
  <si>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</si>
  <si>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</si>
  <si>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</si>
  <si>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</si>
  <si>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</si>
  <si>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</si>
  <si>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</si>
  <si>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</si>
  <si>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</si>
  <si>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</si>
  <si>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</si>
  <si>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</si>
  <si>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</si>
  <si>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</si>
  <si>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</si>
  <si>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</si>
  <si>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</si>
  <si>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</si>
  <si>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</si>
  <si>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</si>
  <si>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</si>
  <si>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</si>
  <si>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</si>
  <si>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</si>
  <si>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Skupovska Veronika</t>
  </si>
  <si>
    <t>FID2</t>
  </si>
  <si>
    <t>Vennes</t>
  </si>
  <si>
    <t>Max. 9</t>
  </si>
  <si>
    <t>Recherche</t>
  </si>
  <si>
    <t>STOP</t>
  </si>
  <si>
    <t>Choix de projet</t>
  </si>
  <si>
    <t xml:space="preserve">Analyse </t>
  </si>
  <si>
    <t>analyse de cahier de charges</t>
  </si>
  <si>
    <t>creation de repo github</t>
  </si>
  <si>
    <t>prreparation de l'environement</t>
  </si>
  <si>
    <t>cicd</t>
  </si>
  <si>
    <t>github - How to write a pipeline for a pull request for lint and run tests - Stack Overflow</t>
  </si>
  <si>
    <t>analyse de projet pour comprendre quels comandes pipeline doit obligatoirement pouvoir exécuter - creation du list de ces commandes dans Rapport</t>
  </si>
  <si>
    <t>How to build a CI/CD pipeline with GitHub Actions in four simple steps - The GitHub Blog , https://github.com/aws-samples/aws-codepipeline-cicd</t>
  </si>
  <si>
    <t xml:space="preserve">recherche sur le fonctionnement du pipeline et ses exemples, pour comprendre comment le construir et ou le mettre dans mon projet </t>
  </si>
  <si>
    <t>creation de workflow Hello world, afin de comprendre comment il fonctionne en pratique</t>
  </si>
  <si>
    <t>Code</t>
  </si>
  <si>
    <t>Analyse + rapport</t>
  </si>
  <si>
    <t>pm2etml-apps</t>
  </si>
  <si>
    <t>choix de projet P_App-CICD parmi les 6 options presentes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</si>
</sst>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6" fillId="9" borderId="0" xfId="0" applyFont="1" applyFill="1"/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hyperlink" Target="https://apps.pm2etml.ch/jobDefinitions/191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https://github.blog/enterprise-software/ci-cd/build-ci-cd-pipeline-github-actions-four-steps/" TargetMode="External"/><Relationship Id="rId1" Type="http://schemas.openxmlformats.org/officeDocument/2006/relationships/hyperlink" Target="https://stackoverflow.com/questions/69875283/how-to-write-a-pipeline-for-a-pull-request-for-lint-and-run-tests" TargetMode="External"/><Relationship Id="rId6" Type="http://schemas.openxmlformats.org/officeDocument/2006/relationships/vmlDrawing" Target="../drawings/vmlDrawing5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C4" sqref="C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183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45967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46030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/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881A1-4DDE-4F76-A3AA-50E15A3A1CB6}">
  <sheetPr codeName="Feuil9"/>
  <dimension ref="A1:H191"/>
  <sheetViews>
    <sheetView tabSelected="1" topLeftCell="A55" workbookViewId="0">
      <selection activeCell="B61" sqref="B6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45967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24</v>
      </c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45974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88" t="s">
        <v>31</v>
      </c>
      <c r="B22" s="4">
        <v>2</v>
      </c>
      <c r="C22" s="89" t="s">
        <v>45</v>
      </c>
      <c r="D22" s="92" t="s">
        <v>44</v>
      </c>
    </row>
    <row r="23" spans="1:8" x14ac:dyDescent="0.25">
      <c r="A23" s="87" t="s">
        <v>32</v>
      </c>
      <c r="B23" s="2">
        <v>1</v>
      </c>
      <c r="C23" s="90" t="s">
        <v>33</v>
      </c>
      <c r="D23" s="10"/>
    </row>
    <row r="24" spans="1:8" ht="27" x14ac:dyDescent="0.25">
      <c r="A24" s="87" t="s">
        <v>35</v>
      </c>
      <c r="B24" s="2">
        <v>2</v>
      </c>
      <c r="C24" s="90" t="s">
        <v>34</v>
      </c>
      <c r="D24" s="10"/>
    </row>
    <row r="25" spans="1:8" ht="12.75" customHeight="1" x14ac:dyDescent="0.25">
      <c r="A25" s="87" t="s">
        <v>29</v>
      </c>
      <c r="B25" s="2">
        <v>4</v>
      </c>
      <c r="C25" s="90" t="s">
        <v>36</v>
      </c>
      <c r="D25" s="92" t="s">
        <v>37</v>
      </c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45981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27" x14ac:dyDescent="0.25">
      <c r="A41" s="5" t="s">
        <v>24</v>
      </c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45988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7" x14ac:dyDescent="0.25">
      <c r="A60" s="88" t="s">
        <v>29</v>
      </c>
      <c r="B60" s="4">
        <v>1</v>
      </c>
      <c r="C60" s="89" t="s">
        <v>40</v>
      </c>
      <c r="D60" s="92" t="s">
        <v>39</v>
      </c>
    </row>
    <row r="61" spans="1:4" ht="27" x14ac:dyDescent="0.25">
      <c r="A61" s="87" t="s">
        <v>43</v>
      </c>
      <c r="B61" s="2">
        <v>2</v>
      </c>
      <c r="C61" s="90" t="s">
        <v>38</v>
      </c>
      <c r="D61" s="10"/>
    </row>
    <row r="62" spans="1:4" x14ac:dyDescent="0.25">
      <c r="A62" s="87" t="s">
        <v>42</v>
      </c>
      <c r="B62" s="2">
        <v>2</v>
      </c>
      <c r="C62" s="90" t="s">
        <v>41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5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45995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46002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$D$96+7</f>
        <v>46009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14</v>
      </c>
      <c r="B134" s="43">
        <v>8</v>
      </c>
      <c r="C134" s="44" t="s">
        <v>23</v>
      </c>
      <c r="D134" s="53">
        <f>$D$115+7</f>
        <v>46016</v>
      </c>
    </row>
    <row r="135" spans="1:4" ht="27.75" thickBot="1" x14ac:dyDescent="0.3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22</v>
      </c>
      <c r="B151" s="47">
        <f>SUM(B136:B150)</f>
        <v>0</v>
      </c>
      <c r="C151" s="86" t="s">
        <v>28</v>
      </c>
      <c r="D151" s="48"/>
    </row>
    <row r="152" spans="1:4" ht="15" thickBot="1" x14ac:dyDescent="0.35">
      <c r="A152" s="49"/>
      <c r="B152" s="49"/>
      <c r="C152" s="49"/>
      <c r="D152" s="49"/>
    </row>
    <row r="153" spans="1:4" ht="18.75" thickBot="1" x14ac:dyDescent="0.3">
      <c r="A153" s="42" t="s">
        <v>14</v>
      </c>
      <c r="B153" s="43">
        <v>9</v>
      </c>
      <c r="C153" s="44" t="s">
        <v>23</v>
      </c>
      <c r="D153" s="53">
        <f>$D$134+7</f>
        <v>46023</v>
      </c>
    </row>
    <row r="154" spans="1:4" ht="27.75" thickBot="1" x14ac:dyDescent="0.3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0"/>
      <c r="B167" s="50"/>
      <c r="C167" s="51"/>
      <c r="D167" s="51"/>
    </row>
    <row r="168" spans="1:4" x14ac:dyDescent="0.25">
      <c r="A168" s="50"/>
      <c r="B168" s="50"/>
      <c r="C168" s="51"/>
      <c r="D168" s="51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7" t="s">
        <v>22</v>
      </c>
      <c r="B170" s="47">
        <f>SUM(B155:B169)</f>
        <v>0</v>
      </c>
      <c r="C170" s="86" t="s">
        <v>28</v>
      </c>
      <c r="D170" s="48"/>
    </row>
    <row r="171" spans="1:4" ht="15" thickBot="1" x14ac:dyDescent="0.35">
      <c r="A171" s="49"/>
      <c r="B171" s="49"/>
      <c r="C171" s="49"/>
      <c r="D171" s="49"/>
    </row>
    <row r="172" spans="1:4" ht="18.75" thickBot="1" x14ac:dyDescent="0.3">
      <c r="A172" s="42" t="s">
        <v>14</v>
      </c>
      <c r="B172" s="43">
        <v>10</v>
      </c>
      <c r="C172" s="44" t="s">
        <v>23</v>
      </c>
      <c r="D172" s="53">
        <f>$D$153+7</f>
        <v>46030</v>
      </c>
    </row>
    <row r="173" spans="1:4" ht="27.75" thickBot="1" x14ac:dyDescent="0.3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0"/>
      <c r="B186" s="50"/>
      <c r="C186" s="51"/>
      <c r="D186" s="51"/>
    </row>
    <row r="187" spans="1:4" x14ac:dyDescent="0.25">
      <c r="A187" s="50"/>
      <c r="B187" s="50"/>
      <c r="C187" s="51"/>
      <c r="D187" s="51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7" t="s">
        <v>22</v>
      </c>
      <c r="B189" s="47">
        <f>SUM(B174:B188)</f>
        <v>0</v>
      </c>
      <c r="C189" s="86" t="s">
        <v>28</v>
      </c>
      <c r="D189" s="48"/>
    </row>
    <row r="190" spans="1:4" ht="14.25" x14ac:dyDescent="0.3">
      <c r="A190" s="49"/>
      <c r="B190" s="49"/>
      <c r="C190" s="49"/>
      <c r="D190" s="49"/>
    </row>
    <row r="191" spans="1:4" x14ac:dyDescent="0.25">
      <c r="A191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61EA7D9D-9D94-46CF-A2AD-DBA99D65884D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AFC843B5-C4D1-43B2-977B-D353997E7C67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F5761D9A-0C61-4C62-A74F-3D4FB8EC9974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2513A0F3-AC6E-4307-820A-431C52A7A834}">
      <formula1>lstTasks</formula1>
    </dataValidation>
  </dataValidations>
  <hyperlinks>
    <hyperlink ref="D25" r:id="rId1" display="https://stackoverflow.com/questions/69875283/how-to-write-a-pipeline-for-a-pull-request-for-lint-and-run-tests" xr:uid="{8E57CE48-1401-4675-930D-0897D2ADBD60}"/>
    <hyperlink ref="D60" r:id="rId2" display="https://github.blog/enterprise-software/ci-cd/build-ci-cd-pipeline-github-actions-four-steps/" xr:uid="{E4402C20-0E22-4357-83F9-88166267E736}"/>
    <hyperlink ref="D22" r:id="rId3" display="https://apps.pm2etml.ch/jobDefinitions/191" xr:uid="{56984EA8-BE6A-4E56-ACEF-C28EF60AB972}"/>
  </hyperlinks>
  <pageMargins left="0.7" right="0.7" top="0.75" bottom="0.75" header="0.3" footer="0.3"/>
  <pageSetup paperSize="9" orientation="portrait" r:id="rId4"/>
  <drawing r:id="rId5"/>
  <legacyDrawing r:id="rId6"/>
  <controls>
    <mc:AlternateContent xmlns:mc="http://schemas.openxmlformats.org/markup-compatibility/2006">
      <mc:Choice Requires="x14">
        <control shapeId="43009" r:id="rId7" name="btnImportRealisation">
          <controlPr defaultSize="0" autoLine="0" r:id="rId8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7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purl.org/dc/dcmitype/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infopath/2007/PartnerControls"/>
    <ds:schemaRef ds:uri="f7d9f5a6-831d-4621-8c77-cbcaf993e406"/>
    <ds:schemaRef ds:uri="bf2f2df3-a963-4452-b0e7-67dabc627c35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Veronika Skupovska</cp:lastModifiedBy>
  <cp:lastPrinted>2013-08-29T11:33:15Z</cp:lastPrinted>
  <dcterms:created xsi:type="dcterms:W3CDTF">1996-10-21T11:03:58Z</dcterms:created>
  <dcterms:modified xsi:type="dcterms:W3CDTF">2025-11-27T09:36:41Z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